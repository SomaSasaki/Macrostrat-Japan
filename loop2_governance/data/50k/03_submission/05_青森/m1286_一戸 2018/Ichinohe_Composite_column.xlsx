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omas\OneDrive\デスクトップ\summer research 2026\MacroStrat\data\03_submission\05_青森\m1286_一戸 2018\"/>
    </mc:Choice>
  </mc:AlternateContent>
  <xr:revisionPtr revIDLastSave="0" documentId="13_ncr:1_{D29836D0-9F3D-41C0-B471-24E03270045E}" xr6:coauthVersionLast="47" xr6:coauthVersionMax="47" xr10:uidLastSave="{00000000-0000-0000-0000-000000000000}"/>
  <bookViews>
    <workbookView xWindow="-110" yWindow="-110" windowWidth="19420" windowHeight="11500" tabRatio="747" activeTab="1" xr2:uid="{00000000-000D-0000-FFFF-FFFF00000000}"/>
  </bookViews>
  <sheets>
    <sheet name="metadata" sheetId="11" r:id="rId1"/>
    <sheet name="units" sheetId="2" r:id="rId2"/>
    <sheet name="columns" sheetId="7" r:id="rId3"/>
    <sheet name="refs" sheetId="9" r:id="rId4"/>
    <sheet name="imag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2" i="2" l="1"/>
  <c r="L32" i="2"/>
  <c r="M32" i="2"/>
  <c r="E32" i="2"/>
  <c r="F32" i="2"/>
  <c r="G32" i="2"/>
  <c r="H32" i="2"/>
  <c r="I32" i="2"/>
  <c r="G21" i="2"/>
  <c r="I21" i="2"/>
  <c r="K21" i="2"/>
  <c r="L21" i="2"/>
  <c r="M21" i="2"/>
  <c r="G22" i="2"/>
  <c r="I22" i="2"/>
  <c r="K22" i="2"/>
  <c r="L22" i="2"/>
  <c r="M22" i="2"/>
  <c r="F23" i="2"/>
  <c r="G23" i="2"/>
  <c r="H23" i="2"/>
  <c r="I23" i="2"/>
  <c r="J23" i="2"/>
  <c r="K23" i="2"/>
  <c r="L23" i="2"/>
  <c r="M23" i="2"/>
  <c r="N23" i="2"/>
  <c r="F24" i="2"/>
  <c r="G24" i="2"/>
  <c r="H24" i="2"/>
  <c r="I24" i="2"/>
  <c r="J24" i="2"/>
  <c r="K24" i="2"/>
  <c r="L24" i="2"/>
  <c r="M24" i="2"/>
  <c r="N24" i="2"/>
  <c r="F25" i="2"/>
  <c r="G25" i="2"/>
  <c r="H25" i="2"/>
  <c r="I25" i="2"/>
  <c r="J25" i="2"/>
  <c r="K25" i="2"/>
  <c r="L25" i="2"/>
  <c r="M25" i="2"/>
  <c r="N25" i="2"/>
  <c r="F26" i="2"/>
  <c r="G26" i="2"/>
  <c r="H26" i="2"/>
  <c r="I26" i="2"/>
  <c r="J26" i="2"/>
  <c r="K26" i="2"/>
  <c r="L26" i="2"/>
  <c r="M26" i="2"/>
  <c r="N26" i="2"/>
  <c r="F27" i="2"/>
  <c r="G27" i="2"/>
  <c r="H27" i="2"/>
  <c r="I27" i="2"/>
  <c r="J27" i="2"/>
  <c r="K27" i="2"/>
  <c r="L27" i="2"/>
  <c r="M27" i="2"/>
  <c r="N27" i="2"/>
  <c r="G28" i="2"/>
  <c r="I28" i="2"/>
  <c r="J28" i="2"/>
  <c r="K28" i="2"/>
  <c r="L28" i="2"/>
  <c r="M28" i="2"/>
  <c r="N28" i="2"/>
  <c r="G29" i="2"/>
  <c r="I29" i="2"/>
  <c r="K29" i="2"/>
  <c r="L29" i="2"/>
  <c r="M29" i="2"/>
  <c r="F38" i="2"/>
  <c r="G38" i="2"/>
  <c r="H38" i="2"/>
  <c r="I38" i="2"/>
  <c r="J38" i="2"/>
  <c r="K38" i="2"/>
  <c r="L38" i="2"/>
  <c r="M38" i="2"/>
  <c r="N38" i="2"/>
  <c r="J39" i="2"/>
  <c r="K39" i="2"/>
  <c r="L39" i="2"/>
  <c r="M39" i="2"/>
  <c r="N39" i="2"/>
  <c r="E39" i="2"/>
  <c r="F39" i="2"/>
  <c r="G39" i="2"/>
  <c r="H39" i="2"/>
  <c r="E38" i="2"/>
  <c r="E29" i="2"/>
  <c r="E28" i="2"/>
  <c r="E27" i="2"/>
  <c r="E26" i="2"/>
  <c r="E25" i="2"/>
  <c r="E24" i="2"/>
  <c r="E23" i="2"/>
  <c r="E22" i="2"/>
  <c r="E21" i="2"/>
  <c r="I39" i="2"/>
</calcChain>
</file>

<file path=xl/sharedStrings.xml><?xml version="1.0" encoding="utf-8"?>
<sst xmlns="http://schemas.openxmlformats.org/spreadsheetml/2006/main" count="670" uniqueCount="369">
  <si>
    <t>unit_id</t>
  </si>
  <si>
    <t>unit_description</t>
  </si>
  <si>
    <t>t_prop</t>
  </si>
  <si>
    <t>b_prop</t>
  </si>
  <si>
    <t>unit_name</t>
  </si>
  <si>
    <t>Original lithostratigraphic unit name from the stratigraphic chart. Expected type: String;  Formatting: Free text, avoid abbreviations unless official</t>
  </si>
  <si>
    <t>Numeric identifier for each stratigraphic unit; Expected type: Integer; Formatting: Number</t>
  </si>
  <si>
    <t>Any additional notes or clarifications; Expected type: String; Formatting: Free text</t>
  </si>
  <si>
    <t>Original description of the lithostratigraphic unit from stratigraphic chart or supplemental materials; Expected type: String; Formatting: Free text</t>
  </si>
  <si>
    <t>section_id</t>
  </si>
  <si>
    <t>Numeric code linking lithostratigraphic unit to a specific column; Expected type: String; Formatting: Number</t>
  </si>
  <si>
    <t>Numeric identifier for each section (packages of lithostratigraphic units bounded by gap); Expected type: String; Formatting: Number</t>
  </si>
  <si>
    <t>minor_lith</t>
  </si>
  <si>
    <t>environment</t>
  </si>
  <si>
    <t>Geologic age at the top boundary of the lithostratigraphic unit; Expected type: String or integer; Formatting: Use standard chronostratigraphic names (e.g., "Devonian") if string, and codes from Macrostrat intervals definitions (https://macrostrat.org/api/defs/intervals?all) if number.</t>
  </si>
  <si>
    <t>Depositional environment interpretation; Expected type: String or integer; Formatting: free text representing short description (e.g. "fluvial", "shallow marine"), numeric from Macrostrat environments codes (https://macrostrat.org/api/defs/environments?all)</t>
  </si>
  <si>
    <t>Primary lithology from the original description of the lithostratigraphic unit; Expected type: String; Formatting: "&lt;attrbute&gt;, &lt;attribute&gt; &lt;lith&gt;; &lt;attribute&gt;, &lt;attribute&gt; &lt;lith&gt;"</t>
  </si>
  <si>
    <t>Secondary lithology from the original description of the lithostratigraphic unit or accessory components; Expected type: String; Formatting: "&lt;attrbute&gt;, &lt;attribute&gt; &lt;lith&gt;; &lt;attribute&gt;, &lt;attribute&gt; &lt;lith&gt;"</t>
  </si>
  <si>
    <t>Minimum thickness of the lithostratigraphic unit; Expected type: Float; Formatting: Numeric value in meters, up to 2 decimals</t>
  </si>
  <si>
    <t>Maximum thickness of the lithostratigraphic unit; Expected type: Float; Formatting: Numeric value in meters, up to 2 decimals</t>
  </si>
  <si>
    <t>strat_name</t>
  </si>
  <si>
    <t>max_thickness</t>
  </si>
  <si>
    <t>min_thickness</t>
  </si>
  <si>
    <t>Stratigraphic unit name(s) expressed in hierarchical chains (member → formation → group → supergroup). Allows multiple alternative or related hierarchies in one cell.; Expected type: String; Formatting: Use commas , to separate child and parent within a single chain. Use semicolons ; to separate distinct name chains. Example: A Member, B Formation; C Member, B Formation, E Group; D Formation, E Group</t>
  </si>
  <si>
    <t>col_id</t>
  </si>
  <si>
    <t>col_name</t>
  </si>
  <si>
    <t>col_group</t>
  </si>
  <si>
    <t>geom</t>
  </si>
  <si>
    <t>date_collected</t>
  </si>
  <si>
    <t>col_type</t>
  </si>
  <si>
    <t>project_id</t>
  </si>
  <si>
    <t>project_name</t>
  </si>
  <si>
    <t>date</t>
  </si>
  <si>
    <t>compiler_name</t>
  </si>
  <si>
    <t>compiler_orcid</t>
  </si>
  <si>
    <t>compile_date</t>
  </si>
  <si>
    <t>ref_id</t>
  </si>
  <si>
    <t>title</t>
  </si>
  <si>
    <t>authors</t>
  </si>
  <si>
    <t>publication</t>
  </si>
  <si>
    <t>doi</t>
  </si>
  <si>
    <t>compilation</t>
  </si>
  <si>
    <t>url</t>
  </si>
  <si>
    <t>type</t>
  </si>
  <si>
    <t>Version</t>
  </si>
  <si>
    <t>Type</t>
  </si>
  <si>
    <t>Date</t>
  </si>
  <si>
    <t>This template is designed to support ingestion of chronostratigraphic charts into Macrostrat</t>
  </si>
  <si>
    <t>Description</t>
  </si>
  <si>
    <t>column</t>
  </si>
  <si>
    <t>position_unit</t>
  </si>
  <si>
    <t>age</t>
  </si>
  <si>
    <t>axis_type</t>
  </si>
  <si>
    <t>Units</t>
  </si>
  <si>
    <t>col_ id</t>
  </si>
  <si>
    <t>Geologic interval at the bottom boundary of the lithostratigraphic unit; Expected type: String or integer; Formatting: Use standard chronostratigraphic names (e.g., "Devonian") if string, and codes from Macrostrat intervals definitions (https://macrostrat.org/api/defs/intervals?all) if number.</t>
  </si>
  <si>
    <t>t_int</t>
  </si>
  <si>
    <t>b_int</t>
  </si>
  <si>
    <t>synonyms</t>
  </si>
  <si>
    <t>col_slug, column_id, column_slug</t>
  </si>
  <si>
    <t>t_interval</t>
  </si>
  <si>
    <t>lithology</t>
  </si>
  <si>
    <t>comments</t>
  </si>
  <si>
    <t>required</t>
  </si>
  <si>
    <t>field</t>
  </si>
  <si>
    <t>description</t>
  </si>
  <si>
    <t>no</t>
  </si>
  <si>
    <t>yes</t>
  </si>
  <si>
    <t>major_lith, major_lithology, lith</t>
  </si>
  <si>
    <t>minor_lithology</t>
  </si>
  <si>
    <t>Columns</t>
  </si>
  <si>
    <t>Name for the column</t>
  </si>
  <si>
    <t>Unique identifier for a column (integer or string)</t>
  </si>
  <si>
    <t>Group of the column if applicable</t>
  </si>
  <si>
    <t>Date or date range of collection</t>
  </si>
  <si>
    <t>if multiple columns per spreadsheet</t>
  </si>
  <si>
    <t>b_int or t_int must be defined</t>
  </si>
  <si>
    <t>b_interval, interval</t>
  </si>
  <si>
    <t>no; will be set from min_thickness if provided</t>
  </si>
  <si>
    <t>no; will be set from max_thickness if provided</t>
  </si>
  <si>
    <t>Position of the top boundary of the lithostratigraphic unit in the geologic age interval relative to it's bottom (0) and top (1) boundaries; Expected type: Float; Formatting: numeric up to one decimal places</t>
  </si>
  <si>
    <t>rgeom</t>
  </si>
  <si>
    <t>either geom or ref_geom are required</t>
  </si>
  <si>
    <t>no; defaults to "column" for chronostratigraphy</t>
  </si>
  <si>
    <t>"section" or "column"</t>
  </si>
  <si>
    <t>A unique identifier of the project</t>
  </si>
  <si>
    <t>Name of the project</t>
  </si>
  <si>
    <t>Date digitally compiled</t>
  </si>
  <si>
    <t>Name(s) of compilers</t>
  </si>
  <si>
    <t>ORCIDs of compilers</t>
  </si>
  <si>
    <t>either compiler_name or compiler_orcid are required</t>
  </si>
  <si>
    <t>name, names, compiler_names</t>
  </si>
  <si>
    <t>orcids, compiler_orcids</t>
  </si>
  <si>
    <t>References (keyed to refs table)</t>
  </si>
  <si>
    <t>no; filled from project defaults if not given</t>
  </si>
  <si>
    <t>no; filled from defaults if not given</t>
  </si>
  <si>
    <t>no; default: meter</t>
  </si>
  <si>
    <t>geometry</t>
  </si>
  <si>
    <t>The core table for defining units within a column</t>
  </si>
  <si>
    <t>Metadata for each column</t>
  </si>
  <si>
    <t>time_unit</t>
  </si>
  <si>
    <t>Ma</t>
  </si>
  <si>
    <t>The unit that spatial positions are expressed in</t>
  </si>
  <si>
    <t>The unit that temporal positions are expressed in</t>
  </si>
  <si>
    <t>no; default: EPSG:4326</t>
  </si>
  <si>
    <t>The spatial reference frame that geometries are expressed in</t>
  </si>
  <si>
    <t>srid</t>
  </si>
  <si>
    <t>Refs</t>
  </si>
  <si>
    <t>URL to a landing page for the project, if applicable</t>
  </si>
  <si>
    <t>organization</t>
  </si>
  <si>
    <t>Organization that originated the project</t>
  </si>
  <si>
    <t>Unique ID/citation key for the reference</t>
  </si>
  <si>
    <t>Title</t>
  </si>
  <si>
    <t>Comma- or semicolon-separate list of authors</t>
  </si>
  <si>
    <t>Publication name</t>
  </si>
  <si>
    <t>Compilation name (if applicable)</t>
  </si>
  <si>
    <t>Publication year or date</t>
  </si>
  <si>
    <t>DOI</t>
  </si>
  <si>
    <t>if available</t>
  </si>
  <si>
    <t>yes*</t>
  </si>
  <si>
    <t>Images</t>
  </si>
  <si>
    <t>image_name</t>
  </si>
  <si>
    <t>Column ID or comma-separated list of IDs (if image contains multiple columns)</t>
  </si>
  <si>
    <t>Comments relating to the project or ingestion</t>
  </si>
  <si>
    <t>only if multiple images</t>
  </si>
  <si>
    <t>page_number</t>
  </si>
  <si>
    <t>Description/caption for the image</t>
  </si>
  <si>
    <t>Comments on this image</t>
  </si>
  <si>
    <t>Page number within reference</t>
  </si>
  <si>
    <t>Reference this image was extracted from (keyed to the refs table)</t>
  </si>
  <si>
    <t>Name of image (should match the name of the Excel embed or associated file)</t>
  </si>
  <si>
    <t>ref_geometry, ref_geom</t>
  </si>
  <si>
    <t>"Real-world" geometry of the column: comma-separated values, WKT Point, Line or Polygon; this field can be provided as a layer in an associated GIS file</t>
  </si>
  <si>
    <t>Reference geometry of the column, its "area of influence": WKT Polygon; these fields can be provided as a layer in an associated GIS file</t>
  </si>
  <si>
    <t>Column images (optional and experimental)</t>
  </si>
  <si>
    <t>Position of the bottom boundary of the lithostratigraphic unit in the geologic age interval relative to it's bottom (0) and top (1) boundaries; Expected type: Float; Formatting: numeric up to one decimal places</t>
  </si>
  <si>
    <t>EPSG:4326</t>
  </si>
  <si>
    <t>timescale</t>
  </si>
  <si>
    <t>Name or Macrostrat ID of default timescale for age intervals</t>
  </si>
  <si>
    <t>no; default: ICS ages</t>
  </si>
  <si>
    <t>Link to the reference</t>
  </si>
  <si>
    <t>Organization name (if applicable)</t>
  </si>
  <si>
    <t>Project metadata (this sheet)</t>
  </si>
  <si>
    <t>Metadata for a set of ingested columns</t>
  </si>
  <si>
    <t>Documentation</t>
  </si>
  <si>
    <t>col_ids</t>
  </si>
  <si>
    <t>ref_ids</t>
  </si>
  <si>
    <t>Default column type ("section" or "column")</t>
  </si>
  <si>
    <t>Default axis type; defaults to "age" for chronostratigraphic columns</t>
  </si>
  <si>
    <t>Figure number within reference</t>
  </si>
  <si>
    <t>fig_number</t>
  </si>
  <si>
    <t>Comments relating to the reference</t>
  </si>
  <si>
    <t xml:space="preserve">Reference information (optional; can be set from a BibTex, BibJSON, or RIS file, *all required information can be omitted if DOI is available) </t>
  </si>
  <si>
    <t>Comments relating to the column</t>
  </si>
  <si>
    <t>Position within the youngest interval</t>
  </si>
  <si>
    <t>Position within the oldest interval</t>
  </si>
  <si>
    <t>Youngest time period considered during column creation</t>
  </si>
  <si>
    <t>Oldest time period considered during column creation</t>
  </si>
  <si>
    <t>Reference geometry/"area of influence" for the project. Can be set from a GIS dataset provided alongside</t>
  </si>
  <si>
    <t>Youngest time period considered during the compilation effort</t>
  </si>
  <si>
    <t>Oldest time period considered during the compilation effort</t>
  </si>
  <si>
    <t>https://github.com/Macrostrat/column-ingestion</t>
  </si>
  <si>
    <t>Evgeny Mazco, Daven Quinn, Shanan Peters</t>
  </si>
  <si>
    <t>Authors</t>
  </si>
  <si>
    <t>0.1.0</t>
  </si>
  <si>
    <t>Note: everything below this row is dropped from the sheet on ingestion</t>
  </si>
  <si>
    <t>international intervals</t>
  </si>
  <si>
    <t>basal_surface</t>
  </si>
  <si>
    <t>Character of basal surface (e.g., conformable, unconformable, gradational)</t>
  </si>
  <si>
    <t>lateral_relationship</t>
  </si>
  <si>
    <t>Description of how the unit relates laterally to other units (e.g., interfingering, transgressive)</t>
  </si>
  <si>
    <t>t_pos</t>
  </si>
  <si>
    <t>b_pos</t>
  </si>
  <si>
    <t>pos, position</t>
  </si>
  <si>
    <t>Ordinal position of the bottom boundary of the unit</t>
  </si>
  <si>
    <t>Ordinal position of the top boundary of the unit</t>
  </si>
  <si>
    <t>position</t>
  </si>
  <si>
    <t>Macrostrat column ingestion template – Composite</t>
  </si>
  <si>
    <t>Composite column</t>
  </si>
  <si>
    <t>UW Madison - Macrostrat Lab</t>
    <phoneticPr fontId="12"/>
  </si>
  <si>
    <t>Soma Sasaki</t>
    <phoneticPr fontId="12"/>
  </si>
  <si>
    <t>b_int</t>
    <phoneticPr fontId="12"/>
  </si>
  <si>
    <t>Middle Jurassic</t>
    <phoneticPr fontId="12"/>
  </si>
  <si>
    <t>Holocene</t>
  </si>
  <si>
    <t>Holocene</t>
    <phoneticPr fontId="12"/>
  </si>
  <si>
    <t>meters</t>
    <phoneticPr fontId="12"/>
  </si>
  <si>
    <t>Geological Survey of Japan, AIST</t>
  </si>
  <si>
    <t>Quadrangle Series, 1:50,000</t>
    <phoneticPr fontId="12"/>
  </si>
  <si>
    <t>tuzino2018</t>
  </si>
  <si>
    <t>https://www.gsj.jp/Map/JP/docs/5man_doc/05/05_048.htm</t>
    <phoneticPr fontId="12"/>
  </si>
  <si>
    <t>Tuzino, T., Kudo, T., Nakae, S., Kondo, R., Nishioka, Y. and Ueki, T.</t>
  </si>
  <si>
    <t>Geology of the Ichinohe district</t>
  </si>
  <si>
    <t>Ichinohe District</t>
  </si>
  <si>
    <t>ichinohe-west</t>
  </si>
  <si>
    <t>141.304199,  40.242052</t>
    <phoneticPr fontId="12"/>
  </si>
  <si>
    <t>Horino terrace deposits</t>
    <phoneticPr fontId="12"/>
  </si>
  <si>
    <t>Towada-Hachinohe Pyroclastic Flow Deposits</t>
    <phoneticPr fontId="12"/>
  </si>
  <si>
    <t>Towada-Ofudo Pyroclastic Flow Deposits</t>
    <phoneticPr fontId="12"/>
  </si>
  <si>
    <t>Kusagi terrace deposits</t>
    <phoneticPr fontId="12"/>
  </si>
  <si>
    <t>Asanai terrace deposits</t>
    <phoneticPr fontId="12"/>
  </si>
  <si>
    <t>Nanashigure Volcanic Fan Deposits</t>
    <phoneticPr fontId="12"/>
  </si>
  <si>
    <t>Shitazaki Formation</t>
    <phoneticPr fontId="12"/>
  </si>
  <si>
    <t>Yanagisawa Formation</t>
    <phoneticPr fontId="12"/>
  </si>
  <si>
    <t>Suenomatuyama Formation</t>
    <phoneticPr fontId="12"/>
  </si>
  <si>
    <t>Kadonosawa Formation</t>
    <phoneticPr fontId="12"/>
  </si>
  <si>
    <t>Yotuyaku Formation</t>
    <phoneticPr fontId="12"/>
  </si>
  <si>
    <t>Ainoyama Formation</t>
    <phoneticPr fontId="12"/>
  </si>
  <si>
    <t>Nisatai Formation</t>
    <phoneticPr fontId="12"/>
  </si>
  <si>
    <t>Ichinohe Pluton</t>
    <phoneticPr fontId="12"/>
  </si>
  <si>
    <t>Zyūmonzi Formation</t>
    <phoneticPr fontId="12"/>
  </si>
  <si>
    <t>Maisawa terrace deposits</t>
    <phoneticPr fontId="12"/>
  </si>
  <si>
    <t>Kuzumaki Formation</t>
    <phoneticPr fontId="12"/>
  </si>
  <si>
    <t>Floodplain and valley-floor deposits</t>
    <phoneticPr fontId="12"/>
  </si>
  <si>
    <t>River bed deposits</t>
    <phoneticPr fontId="12"/>
  </si>
  <si>
    <t>Late Pleistocene</t>
    <phoneticPr fontId="12"/>
  </si>
  <si>
    <t>Early Cretaceous</t>
    <phoneticPr fontId="12"/>
  </si>
  <si>
    <t>siltstone</t>
  </si>
  <si>
    <t>siltstone</t>
    <phoneticPr fontId="12"/>
  </si>
  <si>
    <t>sandstone</t>
    <phoneticPr fontId="12"/>
  </si>
  <si>
    <t>mudstone; sandstone; sandy mudstone; conglomerate</t>
  </si>
  <si>
    <t>conglomerate; sandstone; mudstone</t>
  </si>
  <si>
    <t>interfingering</t>
  </si>
  <si>
    <t>dacite lava</t>
  </si>
  <si>
    <t>conglomerate</t>
  </si>
  <si>
    <t>rhyolite lapilli tuff</t>
  </si>
  <si>
    <t>tuff breccia; conglomerate; sandstone; mudstone; lignite</t>
  </si>
  <si>
    <t>monzodiorite; quartz monzonite</t>
  </si>
  <si>
    <t>phyllitic mudstone; pelitic mixed rock</t>
  </si>
  <si>
    <t>gravel; sand</t>
  </si>
  <si>
    <t>gravel; sand</t>
    <phoneticPr fontId="12"/>
  </si>
  <si>
    <t>gravel; sand; mud</t>
    <phoneticPr fontId="12"/>
  </si>
  <si>
    <t>gravel; sand; silt</t>
  </si>
  <si>
    <t>gravel; sand; silt</t>
    <phoneticPr fontId="12"/>
  </si>
  <si>
    <t>pumice lapilli; ash</t>
    <phoneticPr fontId="12"/>
  </si>
  <si>
    <t>sandstone; tuff</t>
  </si>
  <si>
    <t>unconformable</t>
    <phoneticPr fontId="12"/>
  </si>
  <si>
    <t>conformable</t>
    <phoneticPr fontId="12"/>
  </si>
  <si>
    <t>fault</t>
    <phoneticPr fontId="12"/>
  </si>
  <si>
    <t>intrusive</t>
    <phoneticPr fontId="12"/>
  </si>
  <si>
    <t>The Nisatai Formation is composed of upper welded rhyolitic pumice lapilli tuff and lower conglomerate, sandstone, and mudstone. This formation is non-marine deposits, and unconformably covers the Jurassic strata and the Cretaceous plutonic rocks.</t>
  </si>
  <si>
    <t>The Ainoyama Formation is composed of dacitic lava and conglomerate. On the basis of their ages and distributions, they have been originated from the different volcanic activities.</t>
  </si>
  <si>
    <t>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t>
  </si>
  <si>
    <t>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t>
  </si>
  <si>
    <t>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t>
  </si>
  <si>
    <t>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 volcaniclastic rocks (Shimotomai Volcaniclastic Rock Member). A glauconite-rich sandstone bed is intercalated within the upper part of this formation.</t>
  </si>
  <si>
    <t>The Yanagisawa Formation conformably overlies the Zyūmonzi Formation, and is composed of diatomite and diatomite-origined porcelanite (Kawaguchi Porcelanite Member).</t>
  </si>
  <si>
    <t>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t>
  </si>
  <si>
    <t>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t>
  </si>
  <si>
    <t>The Ichinohe Pluton is lithologically characterised by two facies; monzogabbro and quartz monzonite. The monzogabbro facies consists mainly of mediumgrained quartz monzogabbro with biotite, clinopyroxene, orthopyroxene, hornblende, and olivine. The quartz monzonite facies consists of medium grained biotite hornblende quartz monzonite.</t>
  </si>
  <si>
    <t>The Nanashigure Volcanic Fan Deposits, distributed only in the southwestern corner of this district, is mainly composed of gravel which was derived from Nanashigure volcano</t>
  </si>
  <si>
    <t>The higher terrace deposits are subdivided into the Asanai and the Mukaikawara terrace deposits. The former is distributed along the Mabechi River... The both comprise gravel, sand and silt beds.</t>
  </si>
  <si>
    <t>The middle terrace deposits are subdivided into the Kusagi and Hayawatari terrace deposits. The former is developed along the Mabechi River... The both comprise gravel and sand beds.</t>
  </si>
  <si>
    <t>The pyroclastic flow deposits, derived from Towada volcano, are subdivided into two deposits, namely Towada-Ofudo and Towada-Hachinohe Pyroclastic Flow Deposits. These deposits are intercalated between the middle and lower terrace deposits.</t>
    <phoneticPr fontId="12"/>
  </si>
  <si>
    <t>The deposits of the higher lower terrace are the Maisawa and the Rendaino terrace deposits distributed along the Mabechi and Setsukinai and Yukiya rivers respectively.</t>
  </si>
  <si>
    <t>The deposits of the lower lower terrace are the Horino and the Ibonai terrace deposits distributed along the Mabechi and Setsukinai-Yukiya rivers respectively.</t>
  </si>
  <si>
    <t>other young and minor deposits, such as landslide deposits, flood-plain and valley-floor deposits, colluvial and alluvial cone deposits, and river-bed deposits</t>
  </si>
  <si>
    <t>Shitazaki Formation, Sannohe Group</t>
  </si>
  <si>
    <t>Yanagisawa Formation, Sannohe Group</t>
  </si>
  <si>
    <t>Kadonosawa Formation, Shiratorigawa Group</t>
  </si>
  <si>
    <t>Yotuyaku Formation, Shiratorigawa Group</t>
  </si>
  <si>
    <t>Ainoyama Formation</t>
  </si>
  <si>
    <t>Nisatai Formation</t>
  </si>
  <si>
    <t>Ichinohe Pluton</t>
  </si>
  <si>
    <t>Kuzumaki Formation</t>
  </si>
  <si>
    <t>pyroclastic flow</t>
  </si>
  <si>
    <t>alluvial fan</t>
  </si>
  <si>
    <t>sublittoral</t>
  </si>
  <si>
    <t>bathyal</t>
  </si>
  <si>
    <t>shallow marine</t>
  </si>
  <si>
    <t>shallow marine to bathyal</t>
  </si>
  <si>
    <t>non-marine</t>
  </si>
  <si>
    <t>deep marine</t>
  </si>
  <si>
    <t>diatomite; diatomaceous mudstone; hard shale; porcellanite</t>
    <phoneticPr fontId="12"/>
  </si>
  <si>
    <t>conglomerate; coquina conglomerate; volcaniclastic</t>
    <phoneticPr fontId="12"/>
  </si>
  <si>
    <t>volcaniclastic; intrusive rocks; muddy sandstone</t>
    <phoneticPr fontId="12"/>
  </si>
  <si>
    <t>mafic; limestone; chert; siliceous mudstone; sandstone</t>
    <phoneticPr fontId="12"/>
  </si>
  <si>
    <t>fluvial indet.</t>
  </si>
  <si>
    <t>conglomerate; volcaniclastic; lava; intrusive rocks; mudstone</t>
    <phoneticPr fontId="12"/>
  </si>
  <si>
    <t>GSJ_MAP_G050_05048_2018_L1.jpg</t>
  </si>
  <si>
    <t>Map legend: Quaternary, Neogene and Cretaceous plutonic rocks. Source of unit names and lithologies. In the map data package (zip) available from the reference URL</t>
  </si>
  <si>
    <t>GSJ_MAP_G050_05048_2018_L2.jpg</t>
  </si>
  <si>
    <t>Map legend: Jurassic accretionary complex. Source of unit names and lithologies. In the map data package (zip)</t>
  </si>
  <si>
    <t>Fig. 2.1</t>
  </si>
  <si>
    <t>Fig. 2.3</t>
  </si>
  <si>
    <t>GSJ_MAP_G050_05048_2018_S1.jpg</t>
  </si>
  <si>
    <t>Generalized geologic column, showing western, central and eastern areas. Source of unit list and stacking order</t>
  </si>
  <si>
    <t>Chronostratigraphy of the Miocene to Lower Pleistocene. Source of b_int/t_int and b_prop/t_prop</t>
  </si>
  <si>
    <t>Cross-section A–B–C. Basis for dividing the district into western, central and eastern columns</t>
  </si>
  <si>
    <t>Ichinohe</t>
    <phoneticPr fontId="12"/>
  </si>
  <si>
    <t>ichinohe-central</t>
    <phoneticPr fontId="12"/>
  </si>
  <si>
    <t>Ichinohe District, western area</t>
    <phoneticPr fontId="12"/>
  </si>
  <si>
    <t>Ichinohe District, central area</t>
    <phoneticPr fontId="12"/>
  </si>
  <si>
    <t>Ichinohe District</t>
    <phoneticPr fontId="12"/>
  </si>
  <si>
    <t>tuzino2018</t>
    <phoneticPr fontId="12"/>
  </si>
  <si>
    <t>ichinohe-west</t>
    <phoneticPr fontId="12"/>
  </si>
  <si>
    <t>Holocene</t>
    <phoneticPr fontId="12"/>
  </si>
  <si>
    <t>Zyūmonzi Formation, Sannohe Group</t>
    <phoneticPr fontId="12"/>
  </si>
  <si>
    <t>Suenomatuyama Formation, Shiratorigawa Group</t>
    <phoneticPr fontId="12"/>
  </si>
  <si>
    <t>141.377440, 40.266711</t>
    <phoneticPr fontId="12"/>
  </si>
  <si>
    <t>ichinohe-east</t>
    <phoneticPr fontId="12"/>
  </si>
  <si>
    <t>141.452405, 40.252992</t>
    <phoneticPr fontId="12"/>
  </si>
  <si>
    <t>Ibonai terrace deposits</t>
    <phoneticPr fontId="12"/>
  </si>
  <si>
    <t>Rendaino terrace deposits</t>
    <phoneticPr fontId="12"/>
  </si>
  <si>
    <t>Hayawatari terrace deposits</t>
    <phoneticPr fontId="12"/>
  </si>
  <si>
    <t>Mukaikawara terrace deposits</t>
    <phoneticPr fontId="12"/>
  </si>
  <si>
    <t>Oritsumedake Fan Deposits</t>
    <phoneticPr fontId="12"/>
  </si>
  <si>
    <t>Esashika Formation</t>
  </si>
  <si>
    <t>Esashika Formation</t>
    <phoneticPr fontId="12"/>
  </si>
  <si>
    <t>Toya Formation</t>
  </si>
  <si>
    <t>Toya Formation</t>
    <phoneticPr fontId="12"/>
  </si>
  <si>
    <t>Tsukanaigawa Pluton</t>
    <phoneticPr fontId="12"/>
  </si>
  <si>
    <t>Seki Formation</t>
    <phoneticPr fontId="12"/>
  </si>
  <si>
    <t>Kassenba Formation</t>
    <phoneticPr fontId="12"/>
  </si>
  <si>
    <t>Takayashiki Formation</t>
    <phoneticPr fontId="12"/>
  </si>
  <si>
    <t>Late Pleistocene</t>
    <phoneticPr fontId="12"/>
  </si>
  <si>
    <t>Early Cretaceous</t>
    <phoneticPr fontId="12"/>
  </si>
  <si>
    <t>Oxfordian</t>
  </si>
  <si>
    <t>Kimmeridgian</t>
  </si>
  <si>
    <t>Oxfordian</t>
    <phoneticPr fontId="12"/>
  </si>
  <si>
    <t>Kimmeridgian</t>
    <phoneticPr fontId="12"/>
  </si>
  <si>
    <t>fault</t>
    <phoneticPr fontId="12"/>
  </si>
  <si>
    <t>The Takayashiki Formation consists mainly of alternating beds of dismembered sandstone and mudstone, and slaty mudstone with small amount of chert, siliceous mudstone, and mafic rocks. The thickness of this formation attains 3,500 m within the district.</t>
    <phoneticPr fontId="12"/>
  </si>
  <si>
    <t>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t>
  </si>
  <si>
    <t>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t>
  </si>
  <si>
    <t>The Tsukanaigawa Pluton is composed of medium-grained biotite hornblende granodiorite.</t>
  </si>
  <si>
    <t>The Toya Formation unconformably overlies the Jurassic strata, the Kadonosawa and the Zyūmonzi formations. The formation is non-marine deposits, composed of pyroclastic flow deposits, conglomerate, sandstone and mudstone.</t>
  </si>
  <si>
    <t>The Esashika Formation, distributed only along the eastern foot of the Oritsume Mountains, unconformably overlie the Toya Formation, and is mainly composed of gravel bed,</t>
    <phoneticPr fontId="12"/>
  </si>
  <si>
    <t>The Oritsumedake fan deposits unconformably overlies the Esashika Formation and comprises loose gravel and sand beds.</t>
  </si>
  <si>
    <t>The higher terrace deposits are subdivided into the Asanai and the Mukaikawara terrace deposits. The former is distributed along the Mabechi River, and the latter is along the Yukiya River. The both comprise gravel, sand and silt beds.</t>
    <phoneticPr fontId="12"/>
  </si>
  <si>
    <t>The middle terrace deposits are subdivided into the Kusagi and Hayawatari terrace deposits. The former is developed along the Mabechi River, and the later is mainly along Setsukinai River. The both comprise gravel and sand beds.</t>
  </si>
  <si>
    <t>fluvial indet.</t>
    <phoneticPr fontId="12"/>
  </si>
  <si>
    <t>chert; siliceous mudstone; mafic</t>
  </si>
  <si>
    <t>chert; siliceous mudstone; sandstone</t>
  </si>
  <si>
    <t>sandstone</t>
  </si>
  <si>
    <t>granodiorite</t>
  </si>
  <si>
    <t>pumice lapilli tuff</t>
  </si>
  <si>
    <t>tuff; mudstone; sandstone; conglomerate; lignite</t>
  </si>
  <si>
    <t>gravel</t>
  </si>
  <si>
    <t>sand; mud</t>
  </si>
  <si>
    <t>dismembered sandstone; dismembered mudstone; slaty mudstone</t>
  </si>
  <si>
    <t>slaty mudstone; laminated mudstone</t>
    <phoneticPr fontId="12"/>
  </si>
  <si>
    <t>intrusive</t>
    <phoneticPr fontId="12"/>
  </si>
  <si>
    <t>unconformable</t>
    <phoneticPr fontId="12"/>
  </si>
  <si>
    <t>col_id</t>
    <phoneticPr fontId="12"/>
  </si>
  <si>
    <t>Ichinohe District, eastern area</t>
    <phoneticPr fontId="12"/>
  </si>
  <si>
    <t>Calabrian</t>
    <phoneticPr fontId="12"/>
  </si>
  <si>
    <t>siliceous mudstone; slaty mudstone; laminated mudstone; chert</t>
    <phoneticPr fontId="12"/>
  </si>
  <si>
    <t>ichinohe-west,ichinohe-central,ichinohe-east</t>
  </si>
  <si>
    <t>page_no</t>
    <phoneticPr fontId="12"/>
  </si>
  <si>
    <t>fig_no</t>
    <phoneticPr fontId="12"/>
  </si>
  <si>
    <t>fluvial indet.; lacustrine indet.; shallow marine</t>
    <phoneticPr fontId="12"/>
  </si>
  <si>
    <t>t_pos</t>
    <phoneticPr fontId="12"/>
  </si>
  <si>
    <t>Chibanian</t>
  </si>
  <si>
    <t>Chibanian</t>
    <phoneticPr fontId="12"/>
  </si>
  <si>
    <t>Tortonian</t>
  </si>
  <si>
    <t>Serravallian</t>
  </si>
  <si>
    <t>Langhian</t>
  </si>
  <si>
    <t>Burdigalian</t>
  </si>
  <si>
    <t>Aquitanian</t>
    <phoneticPr fontId="12"/>
  </si>
  <si>
    <t>Messinian</t>
  </si>
  <si>
    <t>Zanclean</t>
  </si>
  <si>
    <t>Late Pleistocene</t>
  </si>
  <si>
    <t>Generalized geologic column of the Ichinohe district, showing the western, central and eastern areas separately. Source of the unit list and stacking order for all three columns. The figure is not supplied as a file; it is on p.6 of the explanatory text, obtainable from the reference URL in the refs sheet.</t>
  </si>
  <si>
    <t>Chronostratigraphy of the Miocene to Lower Pleistocene of the Ichinohe district, correlating diatom (NPD) and planktonic foraminiferal zones, Japanese stages and radiometric ages. Source of b_int/t_int and b_prop/t_prop. The figure is not supplied as a file; it is on p.9 of the explanatory text, obtainable from the reference URL in the refs sheet.</t>
  </si>
  <si>
    <t>conformable; locally disconformable</t>
    <phoneticPr fontId="12"/>
  </si>
  <si>
    <t>disconformable; locally conformable</t>
  </si>
  <si>
    <t>Aquitanian</t>
    <phoneticPr fontId="12"/>
  </si>
  <si>
    <t>Holocene</t>
    <phoneticPr fontId="12"/>
  </si>
  <si>
    <t>Serravallian</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</si>
</sst>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00_);[Red]\(0.000\)"/>
  </numFmts>
  <fonts count="14">
    <font>
      <sz val="11"/>
      <color theme="1"/>
      <name val="ＭＳ Ｐゴシック"/>
      <family val="2"/>
      <scheme val="minor"/>
    </font>
    <font>
      <b/>
      <sz val="11"/>
      <name val="Calibri"/>
      <family val="2"/>
    </font>
    <font>
      <b/>
      <sz val="11"/>
      <color theme="1"/>
      <name val="ＭＳ Ｐゴシック"/>
      <family val="2"/>
      <scheme val="minor"/>
    </font>
    <font>
      <b/>
      <i/>
      <sz val="16"/>
      <color theme="1"/>
      <name val="Calibri (Body)"/>
    </font>
    <font>
      <b/>
      <sz val="18"/>
      <color theme="1"/>
      <name val="ＭＳ Ｐゴシック"/>
      <family val="2"/>
      <scheme val="minor"/>
    </font>
    <font>
      <b/>
      <sz val="22"/>
      <color theme="1"/>
      <name val="ＭＳ Ｐゴシック"/>
      <family val="2"/>
      <scheme val="minor"/>
    </font>
    <font>
      <sz val="11"/>
      <name val="Calibri"/>
      <family val="2"/>
    </font>
    <font>
      <sz val="16"/>
      <color theme="1"/>
      <name val="ＭＳ Ｐゴシック"/>
      <family val="2"/>
      <scheme val="minor"/>
    </font>
    <font>
      <b/>
      <i/>
      <sz val="12"/>
      <color theme="1"/>
      <name val="ＭＳ Ｐゴシック"/>
      <family val="2"/>
      <scheme val="minor"/>
    </font>
    <font>
      <i/>
      <sz val="12"/>
      <color theme="1"/>
      <name val="ＭＳ Ｐゴシック"/>
      <family val="2"/>
      <scheme val="minor"/>
    </font>
    <font>
      <i/>
      <sz val="11"/>
      <color theme="1"/>
      <name val="ＭＳ Ｐゴシック"/>
      <family val="2"/>
      <scheme val="minor"/>
    </font>
    <font>
      <u/>
      <sz val="11"/>
      <color theme="10"/>
      <name val="ＭＳ Ｐゴシック"/>
      <family val="2"/>
      <scheme val="minor"/>
    </font>
    <font>
      <sz val="6"/>
      <name val="ＭＳ Ｐゴシック"/>
      <family val="3"/>
      <charset val="128"/>
      <scheme val="minor"/>
    </font>
    <font>
      <b/>
      <sz val="11"/>
      <color theme="1"/>
      <name val="ＭＳ Ｐゴシック"/>
      <family val="3"/>
      <charset val="128"/>
      <scheme val="minor"/>
    </font>
  </fonts>
  <fills count="2">
    <fill>
      <patternFill patternType="none"/>
    </fill>
    <fill>
      <patternFill patternType="gray125"/>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34">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right"/>
    </xf>
    <xf numFmtId="0" fontId="2" fillId="0" borderId="0" xfId="0" applyFont="1"/>
    <xf numFmtId="0" fontId="5" fillId="0" borderId="0" xfId="0" applyFont="1"/>
    <xf numFmtId="14" fontId="0" fillId="0" borderId="0" xfId="0" applyNumberFormat="1" applyAlignment="1">
      <alignment horizontal="right"/>
    </xf>
    <xf numFmtId="0" fontId="1" fillId="0" borderId="0" xfId="0" applyFont="1" applyAlignment="1">
      <alignment horizontal="left" vertical="top" wrapText="1"/>
    </xf>
    <xf numFmtId="0" fontId="1"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xf>
    <xf numFmtId="0" fontId="6" fillId="0" borderId="0" xfId="0" applyFont="1" applyAlignment="1">
      <alignment horizontal="left" vertical="top" wrapText="1"/>
    </xf>
    <xf numFmtId="0" fontId="6"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wrapText="1"/>
    </xf>
    <xf numFmtId="0" fontId="0" fillId="0" borderId="0" xfId="0" applyAlignment="1">
      <alignment horizontal="right" wrapText="1"/>
    </xf>
    <xf numFmtId="17" fontId="0" fillId="0" borderId="0" xfId="0" applyNumberFormat="1" applyAlignment="1">
      <alignment horizontal="right" wrapText="1"/>
    </xf>
    <xf numFmtId="0" fontId="2" fillId="0" borderId="0" xfId="0" applyFont="1" applyAlignment="1">
      <alignment horizontal="left" wrapText="1"/>
    </xf>
    <xf numFmtId="14" fontId="0" fillId="0" borderId="0" xfId="0" applyNumberFormat="1" applyAlignment="1">
      <alignment horizontal="left" wrapText="1"/>
    </xf>
    <xf numFmtId="0" fontId="3" fillId="0" borderId="0" xfId="0" applyFont="1"/>
    <xf numFmtId="0" fontId="10" fillId="0" borderId="0" xfId="0" applyFont="1" applyAlignment="1">
      <alignment horizontal="right" wrapText="1"/>
    </xf>
    <xf numFmtId="0" fontId="11" fillId="0" borderId="0" xfId="1" applyAlignment="1">
      <alignment horizontal="right" wrapText="1"/>
    </xf>
    <xf numFmtId="0" fontId="11" fillId="0" borderId="0" xfId="1" applyAlignment="1">
      <alignment wrapText="1"/>
    </xf>
    <xf numFmtId="0" fontId="13" fillId="0" borderId="0" xfId="0" applyFont="1" applyAlignment="1">
      <alignment horizontal="center" vertical="center"/>
    </xf>
    <xf numFmtId="176" fontId="0" fillId="0" borderId="0" xfId="0" applyNumberFormat="1" applyAlignment="1">
      <alignment wrapText="1"/>
    </xf>
    <xf numFmtId="177" fontId="0" fillId="0" borderId="0" xfId="0" applyNumberFormat="1"/>
    <xf numFmtId="177" fontId="0" fillId="0" borderId="0" xfId="0" applyNumberFormat="1" applyAlignment="1">
      <alignment wrapText="1"/>
    </xf>
    <xf numFmtId="0" fontId="7" fillId="0" borderId="0" xfId="0" applyFont="1" applyAlignment="1">
      <alignment horizontal="center" vertical="center"/>
    </xf>
    <xf numFmtId="0" fontId="9" fillId="0" borderId="0" xfId="0" applyFont="1" applyAlignment="1">
      <alignment horizontal="left" vertical="center"/>
    </xf>
    <xf numFmtId="0" fontId="8" fillId="0" borderId="0" xfId="0" applyFont="1" applyAlignment="1">
      <alignment horizontal="left" vertical="center"/>
    </xf>
    <xf numFmtId="0" fontId="4" fillId="0" borderId="0" xfId="0" applyFont="1" applyAlignment="1">
      <alignment horizontal="center"/>
    </xf>
  </cellXfs>
  <cellStyles count="2">
    <cellStyle name="Hyperlink" xfId="1" builtinId="8"/>
    <cellStyle name="Normal" xfId="0" builtinId="0"/>
  </cellStyles>
  <dxfs count="2">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FF75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Macrostrat/column-ingestio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gsj.jp/Map/JP/docs/5man_doc/05/05_048.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3875-95E7-1441-8BC9-F2821D24F072}">
  <dimension ref="A1:D119"/>
  <sheetViews>
    <sheetView topLeftCell="B1" zoomScale="97" workbookViewId="0">
      <selection activeCell="B20" sqref="B20"/>
    </sheetView>
  </sheetViews>
  <sheetFormatPr defaultColWidth="10.90625" defaultRowHeight="13"/>
  <cols>
    <col min="1" max="1" width="24.453125" customWidth="1"/>
    <col min="2" max="2" width="73.6328125" style="18" customWidth="1"/>
    <col min="3" max="3" width="36.36328125" style="18" customWidth="1"/>
    <col min="4" max="4" width="24.453125" style="16" customWidth="1"/>
  </cols>
  <sheetData>
    <row r="1" spans="1:2">
      <c r="A1" s="6" t="s">
        <v>31</v>
      </c>
      <c r="B1" s="18" t="s">
        <v>288</v>
      </c>
    </row>
    <row r="2" spans="1:2">
      <c r="A2" t="s">
        <v>109</v>
      </c>
      <c r="B2" s="5" t="s">
        <v>179</v>
      </c>
    </row>
    <row r="3" spans="1:2">
      <c r="A3" t="s">
        <v>42</v>
      </c>
      <c r="B3" s="5"/>
    </row>
    <row r="4" spans="1:2">
      <c r="A4" t="s">
        <v>30</v>
      </c>
      <c r="B4" s="5"/>
    </row>
    <row r="5" spans="1:2">
      <c r="A5" t="s">
        <v>35</v>
      </c>
      <c r="B5" s="8">
        <v>46236</v>
      </c>
    </row>
    <row r="6" spans="1:2">
      <c r="A6" t="s">
        <v>33</v>
      </c>
      <c r="B6" s="5" t="s">
        <v>180</v>
      </c>
    </row>
    <row r="7" spans="1:2">
      <c r="A7" t="s">
        <v>34</v>
      </c>
      <c r="B7" s="5"/>
    </row>
    <row r="8" spans="1:2">
      <c r="A8" t="s">
        <v>29</v>
      </c>
      <c r="B8" s="5" t="s">
        <v>49</v>
      </c>
    </row>
    <row r="9" spans="1:2">
      <c r="A9" t="s">
        <v>52</v>
      </c>
      <c r="B9" s="18" t="s">
        <v>51</v>
      </c>
    </row>
    <row r="10" spans="1:2">
      <c r="A10" t="s">
        <v>181</v>
      </c>
      <c r="B10" s="18" t="s">
        <v>182</v>
      </c>
    </row>
    <row r="11" spans="1:2">
      <c r="A11" t="s">
        <v>56</v>
      </c>
      <c r="B11" s="18" t="s">
        <v>184</v>
      </c>
    </row>
    <row r="12" spans="1:2">
      <c r="A12" t="s">
        <v>3</v>
      </c>
    </row>
    <row r="13" spans="1:2">
      <c r="A13" t="s">
        <v>2</v>
      </c>
      <c r="B13" s="5"/>
    </row>
    <row r="14" spans="1:2">
      <c r="A14" t="s">
        <v>81</v>
      </c>
      <c r="B14" s="5"/>
    </row>
    <row r="15" spans="1:2">
      <c r="A15" t="s">
        <v>50</v>
      </c>
      <c r="B15" s="5" t="s">
        <v>185</v>
      </c>
    </row>
    <row r="16" spans="1:2">
      <c r="A16" s="3" t="s">
        <v>100</v>
      </c>
      <c r="B16" s="5" t="s">
        <v>101</v>
      </c>
    </row>
    <row r="17" spans="1:4">
      <c r="A17" s="3" t="s">
        <v>137</v>
      </c>
      <c r="B17" s="18" t="s">
        <v>166</v>
      </c>
    </row>
    <row r="18" spans="1:4" ht="14" customHeight="1">
      <c r="A18" s="3" t="s">
        <v>106</v>
      </c>
      <c r="B18" s="5" t="s">
        <v>136</v>
      </c>
    </row>
    <row r="19" spans="1:4" ht="32" customHeight="1">
      <c r="A19" s="3" t="s">
        <v>62</v>
      </c>
      <c r="B19" s="4"/>
    </row>
    <row r="20" spans="1:4" ht="66" customHeight="1"/>
    <row r="21" spans="1:4" ht="20">
      <c r="A21" s="22" t="s">
        <v>144</v>
      </c>
      <c r="B21" s="23" t="s">
        <v>165</v>
      </c>
    </row>
    <row r="22" spans="1:4" ht="25.5">
      <c r="A22" s="7" t="s">
        <v>177</v>
      </c>
    </row>
    <row r="23" spans="1:4">
      <c r="A23" t="s">
        <v>45</v>
      </c>
      <c r="B23" s="18" t="s">
        <v>178</v>
      </c>
    </row>
    <row r="24" spans="1:4">
      <c r="A24" t="s">
        <v>44</v>
      </c>
      <c r="B24" s="18" t="s">
        <v>164</v>
      </c>
    </row>
    <row r="25" spans="1:4">
      <c r="A25" t="s">
        <v>46</v>
      </c>
      <c r="B25" s="19">
        <v>46023</v>
      </c>
    </row>
    <row r="26" spans="1:4">
      <c r="A26" t="s">
        <v>163</v>
      </c>
      <c r="B26" s="19" t="s">
        <v>162</v>
      </c>
    </row>
    <row r="27" spans="1:4" ht="26">
      <c r="A27" t="s">
        <v>48</v>
      </c>
      <c r="B27" s="18" t="s">
        <v>47</v>
      </c>
    </row>
    <row r="28" spans="1:4">
      <c r="A28" t="s">
        <v>144</v>
      </c>
      <c r="B28" s="24" t="s">
        <v>161</v>
      </c>
    </row>
    <row r="29" spans="1:4" ht="20">
      <c r="A29" s="22"/>
      <c r="B29" s="23"/>
    </row>
    <row r="30" spans="1:4" ht="19">
      <c r="A30" s="30" t="s">
        <v>142</v>
      </c>
      <c r="B30" s="30"/>
      <c r="C30" s="30"/>
      <c r="D30" s="30"/>
    </row>
    <row r="31" spans="1:4" ht="24" customHeight="1">
      <c r="A31" s="31" t="s">
        <v>143</v>
      </c>
      <c r="B31" s="31"/>
      <c r="C31" s="31"/>
      <c r="D31" s="31"/>
    </row>
    <row r="32" spans="1:4">
      <c r="A32" s="6" t="s">
        <v>64</v>
      </c>
      <c r="B32" s="20" t="s">
        <v>65</v>
      </c>
      <c r="C32" s="20" t="s">
        <v>63</v>
      </c>
      <c r="D32" s="12" t="s">
        <v>58</v>
      </c>
    </row>
    <row r="33" spans="1:4">
      <c r="A33" s="6" t="s">
        <v>31</v>
      </c>
      <c r="B33" s="17" t="s">
        <v>86</v>
      </c>
      <c r="C33" s="17" t="s">
        <v>67</v>
      </c>
    </row>
    <row r="34" spans="1:4">
      <c r="A34" t="s">
        <v>109</v>
      </c>
      <c r="B34" s="17" t="s">
        <v>110</v>
      </c>
      <c r="C34" s="17" t="s">
        <v>66</v>
      </c>
    </row>
    <row r="35" spans="1:4">
      <c r="A35" t="s">
        <v>42</v>
      </c>
      <c r="B35" s="17" t="s">
        <v>108</v>
      </c>
      <c r="C35" s="17" t="s">
        <v>66</v>
      </c>
    </row>
    <row r="36" spans="1:4">
      <c r="A36" t="s">
        <v>30</v>
      </c>
      <c r="B36" s="17" t="s">
        <v>85</v>
      </c>
      <c r="C36" s="17" t="s">
        <v>66</v>
      </c>
    </row>
    <row r="37" spans="1:4">
      <c r="A37" t="s">
        <v>35</v>
      </c>
      <c r="B37" s="21" t="s">
        <v>87</v>
      </c>
      <c r="C37" s="21" t="s">
        <v>66</v>
      </c>
    </row>
    <row r="38" spans="1:4" ht="26">
      <c r="A38" t="s">
        <v>33</v>
      </c>
      <c r="B38" s="17" t="s">
        <v>88</v>
      </c>
      <c r="C38" s="17" t="s">
        <v>90</v>
      </c>
      <c r="D38" s="16" t="s">
        <v>91</v>
      </c>
    </row>
    <row r="39" spans="1:4">
      <c r="A39" t="s">
        <v>34</v>
      </c>
      <c r="B39" s="17" t="s">
        <v>89</v>
      </c>
      <c r="C39" s="17" t="s">
        <v>66</v>
      </c>
      <c r="D39" s="16" t="s">
        <v>92</v>
      </c>
    </row>
    <row r="40" spans="1:4">
      <c r="A40" t="s">
        <v>29</v>
      </c>
      <c r="B40" s="17" t="s">
        <v>147</v>
      </c>
      <c r="C40" s="17" t="s">
        <v>94</v>
      </c>
    </row>
    <row r="41" spans="1:4">
      <c r="A41" t="s">
        <v>52</v>
      </c>
      <c r="B41" s="17" t="s">
        <v>148</v>
      </c>
      <c r="C41" s="17" t="s">
        <v>95</v>
      </c>
    </row>
    <row r="42" spans="1:4">
      <c r="A42" t="s">
        <v>57</v>
      </c>
      <c r="B42" s="17" t="s">
        <v>160</v>
      </c>
      <c r="C42" s="17" t="s">
        <v>66</v>
      </c>
    </row>
    <row r="43" spans="1:4">
      <c r="A43" t="s">
        <v>56</v>
      </c>
      <c r="B43" s="17" t="s">
        <v>159</v>
      </c>
      <c r="C43" s="17" t="s">
        <v>66</v>
      </c>
    </row>
    <row r="44" spans="1:4">
      <c r="A44" t="s">
        <v>3</v>
      </c>
      <c r="B44" s="17" t="s">
        <v>155</v>
      </c>
      <c r="C44" s="17" t="s">
        <v>66</v>
      </c>
    </row>
    <row r="45" spans="1:4">
      <c r="A45" t="s">
        <v>2</v>
      </c>
      <c r="B45" s="17" t="s">
        <v>154</v>
      </c>
      <c r="C45" s="17" t="s">
        <v>66</v>
      </c>
    </row>
    <row r="46" spans="1:4" ht="26">
      <c r="A46" t="s">
        <v>81</v>
      </c>
      <c r="B46" s="17" t="s">
        <v>158</v>
      </c>
      <c r="C46" s="17" t="s">
        <v>66</v>
      </c>
    </row>
    <row r="47" spans="1:4">
      <c r="A47" t="s">
        <v>50</v>
      </c>
      <c r="B47" s="17" t="s">
        <v>102</v>
      </c>
      <c r="C47" s="17" t="s">
        <v>96</v>
      </c>
    </row>
    <row r="48" spans="1:4">
      <c r="A48" s="3" t="s">
        <v>100</v>
      </c>
      <c r="B48" s="4" t="s">
        <v>103</v>
      </c>
      <c r="C48" s="4" t="s">
        <v>96</v>
      </c>
    </row>
    <row r="49" spans="1:4">
      <c r="A49" s="3" t="s">
        <v>137</v>
      </c>
      <c r="B49" s="4" t="s">
        <v>138</v>
      </c>
      <c r="C49" s="4" t="s">
        <v>139</v>
      </c>
    </row>
    <row r="50" spans="1:4">
      <c r="A50" s="3" t="s">
        <v>106</v>
      </c>
      <c r="B50" s="4" t="s">
        <v>105</v>
      </c>
      <c r="C50" s="4" t="s">
        <v>104</v>
      </c>
    </row>
    <row r="51" spans="1:4">
      <c r="A51" s="3" t="s">
        <v>62</v>
      </c>
      <c r="B51" s="4" t="s">
        <v>123</v>
      </c>
      <c r="C51" s="4" t="s">
        <v>66</v>
      </c>
    </row>
    <row r="52" spans="1:4">
      <c r="A52" s="3"/>
      <c r="B52" s="4"/>
      <c r="C52" s="4"/>
    </row>
    <row r="53" spans="1:4" ht="21">
      <c r="A53" s="33" t="s">
        <v>53</v>
      </c>
      <c r="B53" s="33"/>
      <c r="C53" s="33"/>
      <c r="D53" s="33"/>
    </row>
    <row r="54" spans="1:4" ht="14">
      <c r="A54" s="31" t="s">
        <v>98</v>
      </c>
      <c r="B54" s="31"/>
      <c r="C54" s="31"/>
      <c r="D54" s="31"/>
    </row>
    <row r="55" spans="1:4">
      <c r="A55" s="6" t="s">
        <v>64</v>
      </c>
      <c r="B55" s="20" t="s">
        <v>65</v>
      </c>
      <c r="C55" s="20" t="s">
        <v>63</v>
      </c>
      <c r="D55" s="12" t="s">
        <v>58</v>
      </c>
    </row>
    <row r="56" spans="1:4" ht="26">
      <c r="A56" s="9" t="s">
        <v>0</v>
      </c>
      <c r="B56" s="4" t="s">
        <v>6</v>
      </c>
      <c r="C56" s="15" t="s">
        <v>66</v>
      </c>
      <c r="D56" s="13"/>
    </row>
    <row r="57" spans="1:4" ht="29">
      <c r="A57" s="9" t="s">
        <v>54</v>
      </c>
      <c r="B57" s="4" t="s">
        <v>10</v>
      </c>
      <c r="C57" s="15" t="s">
        <v>75</v>
      </c>
      <c r="D57" s="13" t="s">
        <v>59</v>
      </c>
    </row>
    <row r="58" spans="1:4" ht="26">
      <c r="A58" s="9" t="s">
        <v>9</v>
      </c>
      <c r="B58" s="4" t="s">
        <v>11</v>
      </c>
      <c r="C58" s="15"/>
      <c r="D58" s="13"/>
    </row>
    <row r="59" spans="1:4" ht="14.5">
      <c r="A59" s="9" t="s">
        <v>172</v>
      </c>
      <c r="B59" s="4" t="s">
        <v>174</v>
      </c>
      <c r="C59" s="15"/>
      <c r="D59" s="13" t="s">
        <v>173</v>
      </c>
    </row>
    <row r="60" spans="1:4" ht="14.5">
      <c r="A60" s="9" t="s">
        <v>171</v>
      </c>
      <c r="B60" s="4" t="s">
        <v>175</v>
      </c>
      <c r="C60" s="15"/>
      <c r="D60" s="13"/>
    </row>
    <row r="61" spans="1:4" ht="52">
      <c r="A61" s="9" t="s">
        <v>57</v>
      </c>
      <c r="B61" s="4" t="s">
        <v>55</v>
      </c>
      <c r="C61" s="15" t="s">
        <v>76</v>
      </c>
      <c r="D61" s="13" t="s">
        <v>77</v>
      </c>
    </row>
    <row r="62" spans="1:4" ht="39">
      <c r="A62" s="10" t="s">
        <v>3</v>
      </c>
      <c r="B62" s="4" t="s">
        <v>135</v>
      </c>
      <c r="C62" s="15" t="s">
        <v>66</v>
      </c>
      <c r="D62" s="14"/>
    </row>
    <row r="63" spans="1:4" ht="52">
      <c r="A63" s="9" t="s">
        <v>56</v>
      </c>
      <c r="B63" s="4" t="s">
        <v>14</v>
      </c>
      <c r="C63" s="15" t="s">
        <v>76</v>
      </c>
      <c r="D63" s="13" t="s">
        <v>60</v>
      </c>
    </row>
    <row r="64" spans="1:4" ht="39">
      <c r="A64" s="9" t="s">
        <v>2</v>
      </c>
      <c r="B64" s="4" t="s">
        <v>80</v>
      </c>
      <c r="C64" s="15" t="s">
        <v>66</v>
      </c>
      <c r="D64" s="13"/>
    </row>
    <row r="65" spans="1:4" ht="26">
      <c r="A65" s="9" t="s">
        <v>4</v>
      </c>
      <c r="B65" s="4" t="s">
        <v>5</v>
      </c>
      <c r="C65" s="15" t="s">
        <v>67</v>
      </c>
      <c r="D65" s="13"/>
    </row>
    <row r="66" spans="1:4" ht="65">
      <c r="A66" s="11" t="s">
        <v>20</v>
      </c>
      <c r="B66" s="4" t="s">
        <v>23</v>
      </c>
      <c r="C66" s="15" t="s">
        <v>66</v>
      </c>
      <c r="D66" s="15"/>
    </row>
    <row r="67" spans="1:4" ht="39">
      <c r="A67" s="11" t="s">
        <v>13</v>
      </c>
      <c r="B67" s="4" t="s">
        <v>15</v>
      </c>
      <c r="C67" s="15" t="s">
        <v>66</v>
      </c>
      <c r="D67" s="15"/>
    </row>
    <row r="68" spans="1:4" ht="26">
      <c r="A68" s="9" t="s">
        <v>1</v>
      </c>
      <c r="B68" s="4" t="s">
        <v>8</v>
      </c>
      <c r="C68" s="15" t="s">
        <v>66</v>
      </c>
      <c r="D68" s="13"/>
    </row>
    <row r="69" spans="1:4" ht="26">
      <c r="A69" s="11" t="s">
        <v>61</v>
      </c>
      <c r="B69" s="4" t="s">
        <v>16</v>
      </c>
      <c r="C69" s="15" t="s">
        <v>67</v>
      </c>
      <c r="D69" s="15" t="s">
        <v>68</v>
      </c>
    </row>
    <row r="70" spans="1:4" ht="39">
      <c r="A70" s="11" t="s">
        <v>12</v>
      </c>
      <c r="B70" s="4" t="s">
        <v>17</v>
      </c>
      <c r="C70" s="15" t="s">
        <v>66</v>
      </c>
      <c r="D70" s="15" t="s">
        <v>69</v>
      </c>
    </row>
    <row r="71" spans="1:4" ht="26">
      <c r="A71" s="11" t="s">
        <v>22</v>
      </c>
      <c r="B71" s="4" t="s">
        <v>18</v>
      </c>
      <c r="C71" s="15" t="s">
        <v>79</v>
      </c>
      <c r="D71" s="15"/>
    </row>
    <row r="72" spans="1:4" ht="26">
      <c r="A72" s="11" t="s">
        <v>21</v>
      </c>
      <c r="B72" s="4" t="s">
        <v>19</v>
      </c>
      <c r="C72" s="15" t="s">
        <v>78</v>
      </c>
      <c r="D72" s="15"/>
    </row>
    <row r="73" spans="1:4">
      <c r="A73" s="11" t="s">
        <v>167</v>
      </c>
      <c r="B73" s="4" t="s">
        <v>168</v>
      </c>
      <c r="C73" s="15" t="s">
        <v>66</v>
      </c>
      <c r="D73" s="15"/>
    </row>
    <row r="74" spans="1:4" ht="26">
      <c r="A74" s="11" t="s">
        <v>169</v>
      </c>
      <c r="B74" s="4" t="s">
        <v>170</v>
      </c>
      <c r="C74" s="15" t="s">
        <v>66</v>
      </c>
      <c r="D74" s="15"/>
    </row>
    <row r="75" spans="1:4">
      <c r="A75" s="12" t="s">
        <v>62</v>
      </c>
      <c r="B75" s="4" t="s">
        <v>7</v>
      </c>
      <c r="C75" s="15" t="s">
        <v>66</v>
      </c>
    </row>
    <row r="76" spans="1:4">
      <c r="A76" s="2"/>
      <c r="B76" s="4"/>
      <c r="C76" s="4"/>
    </row>
    <row r="77" spans="1:4" ht="19">
      <c r="A77" s="30" t="s">
        <v>70</v>
      </c>
      <c r="B77" s="30"/>
      <c r="C77" s="30"/>
      <c r="D77" s="30"/>
    </row>
    <row r="78" spans="1:4" ht="14">
      <c r="A78" s="31" t="s">
        <v>99</v>
      </c>
      <c r="B78" s="32"/>
      <c r="C78" s="32"/>
      <c r="D78" s="32"/>
    </row>
    <row r="79" spans="1:4">
      <c r="A79" s="6" t="s">
        <v>64</v>
      </c>
      <c r="B79" s="20" t="s">
        <v>65</v>
      </c>
      <c r="C79" s="20" t="s">
        <v>63</v>
      </c>
      <c r="D79" s="12" t="s">
        <v>58</v>
      </c>
    </row>
    <row r="80" spans="1:4" ht="29" customHeight="1">
      <c r="A80" s="6" t="s">
        <v>24</v>
      </c>
      <c r="B80" s="4" t="s">
        <v>72</v>
      </c>
      <c r="C80" s="4" t="s">
        <v>67</v>
      </c>
    </row>
    <row r="81" spans="1:4">
      <c r="A81" s="6" t="s">
        <v>25</v>
      </c>
      <c r="B81" s="17" t="s">
        <v>71</v>
      </c>
      <c r="C81" s="17" t="s">
        <v>67</v>
      </c>
    </row>
    <row r="82" spans="1:4">
      <c r="A82" t="s">
        <v>26</v>
      </c>
      <c r="B82" s="17" t="s">
        <v>73</v>
      </c>
      <c r="C82" s="17" t="s">
        <v>66</v>
      </c>
    </row>
    <row r="83" spans="1:4">
      <c r="A83" t="s">
        <v>146</v>
      </c>
      <c r="B83" s="17" t="s">
        <v>93</v>
      </c>
      <c r="C83" s="17" t="s">
        <v>66</v>
      </c>
      <c r="D83" s="16" t="s">
        <v>36</v>
      </c>
    </row>
    <row r="84" spans="1:4">
      <c r="A84" t="s">
        <v>28</v>
      </c>
      <c r="B84" s="17" t="s">
        <v>74</v>
      </c>
      <c r="C84" s="17" t="s">
        <v>66</v>
      </c>
      <c r="D84" s="16" t="s">
        <v>32</v>
      </c>
    </row>
    <row r="85" spans="1:4">
      <c r="A85" t="s">
        <v>29</v>
      </c>
      <c r="B85" s="17" t="s">
        <v>147</v>
      </c>
      <c r="C85" s="17" t="s">
        <v>94</v>
      </c>
    </row>
    <row r="86" spans="1:4">
      <c r="A86" t="s">
        <v>52</v>
      </c>
      <c r="B86" s="17" t="s">
        <v>148</v>
      </c>
      <c r="C86" s="17" t="s">
        <v>95</v>
      </c>
    </row>
    <row r="87" spans="1:4">
      <c r="A87" t="s">
        <v>57</v>
      </c>
      <c r="B87" s="17" t="s">
        <v>157</v>
      </c>
      <c r="C87" s="17" t="s">
        <v>66</v>
      </c>
    </row>
    <row r="88" spans="1:4">
      <c r="A88" t="s">
        <v>56</v>
      </c>
      <c r="B88" s="17" t="s">
        <v>156</v>
      </c>
      <c r="C88" s="17" t="s">
        <v>66</v>
      </c>
    </row>
    <row r="89" spans="1:4">
      <c r="A89" t="s">
        <v>3</v>
      </c>
      <c r="B89" s="17" t="s">
        <v>155</v>
      </c>
      <c r="C89" s="17" t="s">
        <v>66</v>
      </c>
    </row>
    <row r="90" spans="1:4">
      <c r="A90" t="s">
        <v>2</v>
      </c>
      <c r="B90" s="17" t="s">
        <v>154</v>
      </c>
      <c r="C90" s="17" t="s">
        <v>66</v>
      </c>
    </row>
    <row r="91" spans="1:4" ht="26">
      <c r="A91" t="s">
        <v>29</v>
      </c>
      <c r="B91" s="17" t="s">
        <v>84</v>
      </c>
      <c r="C91" s="17" t="s">
        <v>83</v>
      </c>
      <c r="D91" s="16" t="s">
        <v>43</v>
      </c>
    </row>
    <row r="92" spans="1:4" ht="26">
      <c r="A92" s="6" t="s">
        <v>27</v>
      </c>
      <c r="B92" s="17" t="s">
        <v>132</v>
      </c>
      <c r="C92" s="17" t="s">
        <v>82</v>
      </c>
      <c r="D92" s="16" t="s">
        <v>97</v>
      </c>
    </row>
    <row r="93" spans="1:4" ht="26">
      <c r="A93" s="6" t="s">
        <v>81</v>
      </c>
      <c r="B93" s="17" t="s">
        <v>133</v>
      </c>
      <c r="C93" s="17" t="s">
        <v>82</v>
      </c>
      <c r="D93" s="16" t="s">
        <v>131</v>
      </c>
    </row>
    <row r="94" spans="1:4">
      <c r="A94" s="6" t="s">
        <v>62</v>
      </c>
      <c r="B94" s="17" t="s">
        <v>153</v>
      </c>
      <c r="C94" s="17" t="s">
        <v>66</v>
      </c>
    </row>
    <row r="95" spans="1:4">
      <c r="A95" s="2"/>
      <c r="B95" s="4"/>
    </row>
    <row r="96" spans="1:4" ht="19">
      <c r="A96" s="30" t="s">
        <v>107</v>
      </c>
      <c r="B96" s="30"/>
      <c r="C96" s="30"/>
      <c r="D96" s="30"/>
    </row>
    <row r="97" spans="1:4" ht="14">
      <c r="A97" s="31" t="s">
        <v>152</v>
      </c>
      <c r="B97" s="31"/>
      <c r="C97" s="31"/>
      <c r="D97" s="31"/>
    </row>
    <row r="98" spans="1:4">
      <c r="A98" s="6" t="s">
        <v>64</v>
      </c>
      <c r="B98" s="20" t="s">
        <v>65</v>
      </c>
      <c r="C98" s="20" t="s">
        <v>63</v>
      </c>
      <c r="D98" s="12" t="s">
        <v>58</v>
      </c>
    </row>
    <row r="99" spans="1:4">
      <c r="A99" t="s">
        <v>36</v>
      </c>
      <c r="B99" s="1" t="s">
        <v>111</v>
      </c>
      <c r="C99" s="4" t="s">
        <v>67</v>
      </c>
    </row>
    <row r="100" spans="1:4">
      <c r="A100" t="s">
        <v>37</v>
      </c>
      <c r="B100" s="1" t="s">
        <v>112</v>
      </c>
      <c r="C100" s="4" t="s">
        <v>119</v>
      </c>
    </row>
    <row r="101" spans="1:4">
      <c r="A101" t="s">
        <v>38</v>
      </c>
      <c r="B101" s="1" t="s">
        <v>113</v>
      </c>
      <c r="C101" s="4" t="s">
        <v>119</v>
      </c>
    </row>
    <row r="102" spans="1:4">
      <c r="A102" t="s">
        <v>39</v>
      </c>
      <c r="B102" s="1" t="s">
        <v>114</v>
      </c>
      <c r="C102" s="4" t="s">
        <v>119</v>
      </c>
    </row>
    <row r="103" spans="1:4">
      <c r="A103" t="s">
        <v>41</v>
      </c>
      <c r="B103" s="1" t="s">
        <v>115</v>
      </c>
      <c r="C103" s="4" t="s">
        <v>66</v>
      </c>
    </row>
    <row r="104" spans="1:4">
      <c r="A104" t="s">
        <v>109</v>
      </c>
      <c r="B104" s="1" t="s">
        <v>141</v>
      </c>
      <c r="C104" s="4" t="s">
        <v>66</v>
      </c>
    </row>
    <row r="105" spans="1:4">
      <c r="A105" t="s">
        <v>32</v>
      </c>
      <c r="B105" s="1" t="s">
        <v>116</v>
      </c>
      <c r="C105" s="4" t="s">
        <v>67</v>
      </c>
    </row>
    <row r="106" spans="1:4">
      <c r="A106" t="s">
        <v>40</v>
      </c>
      <c r="B106" s="1" t="s">
        <v>117</v>
      </c>
      <c r="C106" s="4" t="s">
        <v>118</v>
      </c>
    </row>
    <row r="107" spans="1:4">
      <c r="A107" t="s">
        <v>42</v>
      </c>
      <c r="B107" s="1" t="s">
        <v>140</v>
      </c>
      <c r="C107" s="4" t="s">
        <v>66</v>
      </c>
    </row>
    <row r="108" spans="1:4">
      <c r="A108" t="s">
        <v>62</v>
      </c>
      <c r="B108" s="1" t="s">
        <v>151</v>
      </c>
      <c r="C108" s="4"/>
    </row>
    <row r="109" spans="1:4">
      <c r="A109" s="2"/>
      <c r="B109" s="4"/>
      <c r="C109" s="4"/>
    </row>
    <row r="110" spans="1:4" ht="19">
      <c r="A110" s="30" t="s">
        <v>120</v>
      </c>
      <c r="B110" s="30"/>
      <c r="C110" s="30"/>
      <c r="D110" s="30"/>
    </row>
    <row r="111" spans="1:4" ht="14">
      <c r="A111" s="31" t="s">
        <v>134</v>
      </c>
      <c r="B111" s="31"/>
      <c r="C111" s="31"/>
      <c r="D111" s="31"/>
    </row>
    <row r="112" spans="1:4">
      <c r="A112" s="6" t="s">
        <v>64</v>
      </c>
      <c r="B112" s="20" t="s">
        <v>65</v>
      </c>
      <c r="C112" s="20" t="s">
        <v>63</v>
      </c>
      <c r="D112" s="12" t="s">
        <v>58</v>
      </c>
    </row>
    <row r="113" spans="1:4">
      <c r="A113" s="3" t="s">
        <v>145</v>
      </c>
      <c r="B113" s="4" t="s">
        <v>122</v>
      </c>
      <c r="C113" s="4" t="s">
        <v>124</v>
      </c>
      <c r="D113" s="16" t="s">
        <v>24</v>
      </c>
    </row>
    <row r="114" spans="1:4">
      <c r="A114" s="3" t="s">
        <v>121</v>
      </c>
      <c r="B114" s="4" t="s">
        <v>130</v>
      </c>
      <c r="C114" s="4" t="s">
        <v>124</v>
      </c>
    </row>
    <row r="115" spans="1:4">
      <c r="A115" s="3" t="s">
        <v>36</v>
      </c>
      <c r="B115" s="4" t="s">
        <v>129</v>
      </c>
      <c r="C115" s="4" t="s">
        <v>66</v>
      </c>
    </row>
    <row r="116" spans="1:4">
      <c r="A116" s="3" t="s">
        <v>125</v>
      </c>
      <c r="B116" s="4" t="s">
        <v>128</v>
      </c>
      <c r="C116" s="4"/>
    </row>
    <row r="117" spans="1:4">
      <c r="A117" s="3" t="s">
        <v>150</v>
      </c>
      <c r="B117" s="15" t="s">
        <v>149</v>
      </c>
      <c r="C117" s="4" t="s">
        <v>66</v>
      </c>
    </row>
    <row r="118" spans="1:4">
      <c r="A118" s="3" t="s">
        <v>65</v>
      </c>
      <c r="B118" s="4" t="s">
        <v>126</v>
      </c>
      <c r="C118" s="4" t="s">
        <v>66</v>
      </c>
    </row>
    <row r="119" spans="1:4">
      <c r="A119" s="3" t="s">
        <v>62</v>
      </c>
      <c r="B119" s="4" t="s">
        <v>127</v>
      </c>
      <c r="C119" s="4" t="s">
        <v>66</v>
      </c>
    </row>
  </sheetData>
  <mergeCells count="10">
    <mergeCell ref="A30:D30"/>
    <mergeCell ref="A54:D54"/>
    <mergeCell ref="A78:D78"/>
    <mergeCell ref="A111:D111"/>
    <mergeCell ref="A31:D31"/>
    <mergeCell ref="A96:D96"/>
    <mergeCell ref="A97:D97"/>
    <mergeCell ref="A110:D110"/>
    <mergeCell ref="A53:D53"/>
    <mergeCell ref="A77:D77"/>
  </mergeCells>
  <phoneticPr fontId="12"/>
  <conditionalFormatting sqref="A67 D67 A69:A75 D69:D75">
    <cfRule type="expression" dxfId="1" priority="1">
      <formula>ISEVEN($A67)</formula>
    </cfRule>
  </conditionalFormatting>
  <hyperlinks>
    <hyperlink ref="B28" r:id="rId1" xr:uid="{99E47478-2B4E-9E41-A01B-3924CB67355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FFD51-ADBD-449D-82B6-FD1C9C527D60}">
  <dimension ref="A1:T43"/>
  <sheetViews>
    <sheetView tabSelected="1" topLeftCell="D1" zoomScale="85" zoomScaleNormal="85" workbookViewId="0">
      <pane ySplit="1" topLeftCell="A34" activePane="bottomLeft" state="frozen"/>
      <selection activeCell="R1" sqref="R1"/>
      <selection pane="bottomLeft" activeCell="J37" sqref="J37"/>
    </sheetView>
  </sheetViews>
  <sheetFormatPr defaultColWidth="8.81640625" defaultRowHeight="13"/>
  <cols>
    <col min="1" max="1" width="14.6328125" style="1" customWidth="1"/>
    <col min="2" max="2" width="22.453125" style="1" customWidth="1"/>
    <col min="3" max="4" width="17.453125" style="1" customWidth="1"/>
    <col min="5" max="5" width="21.26953125" style="1" customWidth="1"/>
    <col min="6" max="6" width="24.6328125" style="1" customWidth="1"/>
    <col min="7" max="7" width="20.1796875" customWidth="1"/>
    <col min="8" max="8" width="11.36328125" customWidth="1"/>
    <col min="9" max="9" width="22.453125" style="1" customWidth="1"/>
    <col min="10" max="10" width="31" style="1" customWidth="1"/>
    <col min="11" max="11" width="27.453125" style="1" customWidth="1"/>
    <col min="12" max="12" width="33" style="1" customWidth="1"/>
    <col min="13" max="13" width="19.6328125" style="1" customWidth="1"/>
    <col min="14" max="14" width="26.36328125" customWidth="1"/>
    <col min="15" max="15" width="14.6328125" customWidth="1"/>
    <col min="16" max="17" width="13.81640625" customWidth="1"/>
    <col min="18" max="18" width="21.81640625" customWidth="1"/>
    <col min="19" max="19" width="50.1796875" customWidth="1"/>
    <col min="20" max="20" width="14.81640625" customWidth="1"/>
  </cols>
  <sheetData>
    <row r="1" spans="1:20" s="2" customFormat="1" ht="14.5">
      <c r="A1" s="9" t="s">
        <v>0</v>
      </c>
      <c r="B1" s="9" t="s">
        <v>343</v>
      </c>
      <c r="C1" s="9" t="s">
        <v>9</v>
      </c>
      <c r="D1" s="9" t="s">
        <v>176</v>
      </c>
      <c r="E1" s="9" t="s">
        <v>57</v>
      </c>
      <c r="F1" s="10" t="s">
        <v>3</v>
      </c>
      <c r="G1" s="9" t="s">
        <v>56</v>
      </c>
      <c r="H1" s="9" t="s">
        <v>2</v>
      </c>
      <c r="I1" s="9" t="s">
        <v>4</v>
      </c>
      <c r="J1" s="11" t="s">
        <v>20</v>
      </c>
      <c r="K1" s="11" t="s">
        <v>13</v>
      </c>
      <c r="L1" s="9" t="s">
        <v>1</v>
      </c>
      <c r="M1" s="11" t="s">
        <v>61</v>
      </c>
      <c r="N1" s="11" t="s">
        <v>12</v>
      </c>
      <c r="O1" s="11" t="s">
        <v>22</v>
      </c>
      <c r="P1" s="11" t="s">
        <v>21</v>
      </c>
      <c r="Q1" s="11" t="s">
        <v>167</v>
      </c>
      <c r="R1" s="11" t="s">
        <v>169</v>
      </c>
      <c r="S1" s="12" t="s">
        <v>62</v>
      </c>
      <c r="T1" s="26" t="s">
        <v>351</v>
      </c>
    </row>
    <row r="2" spans="1:20" ht="65">
      <c r="A2" s="1">
        <v>1</v>
      </c>
      <c r="B2" t="s">
        <v>193</v>
      </c>
      <c r="D2" s="1">
        <v>18</v>
      </c>
      <c r="E2" s="1" t="s">
        <v>184</v>
      </c>
      <c r="F2" s="27"/>
      <c r="G2" t="s">
        <v>367</v>
      </c>
      <c r="H2" s="28"/>
      <c r="I2" s="1" t="s">
        <v>213</v>
      </c>
      <c r="K2" s="1" t="s">
        <v>276</v>
      </c>
      <c r="L2" s="1" t="s">
        <v>255</v>
      </c>
      <c r="M2" s="1" t="s">
        <v>229</v>
      </c>
      <c r="O2">
        <v>2.1</v>
      </c>
      <c r="P2">
        <v>2.1</v>
      </c>
      <c r="Q2" t="s">
        <v>235</v>
      </c>
      <c r="S2" s="1"/>
      <c r="T2">
        <v>19</v>
      </c>
    </row>
    <row r="3" spans="1:20" ht="65">
      <c r="A3" s="1">
        <v>2</v>
      </c>
      <c r="B3" t="s">
        <v>193</v>
      </c>
      <c r="D3" s="1">
        <v>18</v>
      </c>
      <c r="E3" s="1" t="s">
        <v>184</v>
      </c>
      <c r="F3" s="27"/>
      <c r="G3" t="s">
        <v>367</v>
      </c>
      <c r="H3" s="28"/>
      <c r="I3" s="1" t="s">
        <v>212</v>
      </c>
      <c r="K3" s="1" t="s">
        <v>276</v>
      </c>
      <c r="L3" s="1" t="s">
        <v>255</v>
      </c>
      <c r="M3" s="1" t="s">
        <v>230</v>
      </c>
      <c r="S3" s="1"/>
      <c r="T3">
        <v>19</v>
      </c>
    </row>
    <row r="4" spans="1:20" ht="65">
      <c r="A4" s="1">
        <v>3</v>
      </c>
      <c r="B4" t="s">
        <v>193</v>
      </c>
      <c r="D4" s="1">
        <v>17</v>
      </c>
      <c r="E4" s="1" t="s">
        <v>184</v>
      </c>
      <c r="F4" s="27">
        <v>0.214</v>
      </c>
      <c r="G4" t="s">
        <v>367</v>
      </c>
      <c r="H4" s="28"/>
      <c r="I4" s="1" t="s">
        <v>195</v>
      </c>
      <c r="K4" s="1" t="s">
        <v>276</v>
      </c>
      <c r="L4" s="1" t="s">
        <v>254</v>
      </c>
      <c r="M4" s="1" t="s">
        <v>232</v>
      </c>
      <c r="O4">
        <v>1.8</v>
      </c>
      <c r="Q4" t="s">
        <v>235</v>
      </c>
      <c r="S4" s="1"/>
      <c r="T4">
        <v>19</v>
      </c>
    </row>
    <row r="5" spans="1:20" ht="65">
      <c r="A5" s="1">
        <v>4</v>
      </c>
      <c r="B5" t="s">
        <v>193</v>
      </c>
      <c r="D5" s="1">
        <v>16</v>
      </c>
      <c r="E5" s="1" t="s">
        <v>214</v>
      </c>
      <c r="F5" s="27">
        <v>0.96840000000000004</v>
      </c>
      <c r="G5" t="s">
        <v>183</v>
      </c>
      <c r="H5" s="28">
        <v>0.214</v>
      </c>
      <c r="I5" s="1" t="s">
        <v>210</v>
      </c>
      <c r="K5" s="1" t="s">
        <v>276</v>
      </c>
      <c r="L5" s="1" t="s">
        <v>253</v>
      </c>
      <c r="M5" s="1" t="s">
        <v>232</v>
      </c>
      <c r="O5">
        <v>0.6</v>
      </c>
      <c r="Q5" t="s">
        <v>235</v>
      </c>
      <c r="S5" s="1"/>
    </row>
    <row r="6" spans="1:20" ht="91">
      <c r="A6" s="1">
        <v>5</v>
      </c>
      <c r="B6" t="s">
        <v>193</v>
      </c>
      <c r="D6" s="1">
        <v>15</v>
      </c>
      <c r="E6" s="1" t="s">
        <v>214</v>
      </c>
      <c r="F6" s="27">
        <v>0.96799999999999997</v>
      </c>
      <c r="G6" t="s">
        <v>361</v>
      </c>
      <c r="H6" s="28">
        <v>0.96840000000000004</v>
      </c>
      <c r="I6" s="1" t="s">
        <v>196</v>
      </c>
      <c r="K6" s="1" t="s">
        <v>264</v>
      </c>
      <c r="L6" s="1" t="s">
        <v>252</v>
      </c>
      <c r="M6" s="1" t="s">
        <v>233</v>
      </c>
      <c r="P6">
        <v>20</v>
      </c>
      <c r="S6" s="1"/>
    </row>
    <row r="7" spans="1:20" ht="91">
      <c r="A7" s="1">
        <v>6</v>
      </c>
      <c r="B7" t="s">
        <v>193</v>
      </c>
      <c r="D7" s="1">
        <v>14</v>
      </c>
      <c r="E7" s="1" t="s">
        <v>214</v>
      </c>
      <c r="F7" s="27">
        <v>0.79300000000000004</v>
      </c>
      <c r="G7" t="s">
        <v>361</v>
      </c>
      <c r="H7" s="28">
        <v>0.79600000000000004</v>
      </c>
      <c r="I7" s="1" t="s">
        <v>197</v>
      </c>
      <c r="K7" s="1" t="s">
        <v>264</v>
      </c>
      <c r="L7" s="1" t="s">
        <v>252</v>
      </c>
      <c r="M7" s="1" t="s">
        <v>233</v>
      </c>
      <c r="P7">
        <v>7</v>
      </c>
      <c r="S7" s="1"/>
    </row>
    <row r="8" spans="1:20" ht="78">
      <c r="A8" s="1">
        <v>7</v>
      </c>
      <c r="B8" t="s">
        <v>193</v>
      </c>
      <c r="D8" s="1">
        <v>13</v>
      </c>
      <c r="E8" s="1" t="s">
        <v>214</v>
      </c>
      <c r="F8" s="27">
        <v>0.14499999999999999</v>
      </c>
      <c r="G8" s="1" t="s">
        <v>361</v>
      </c>
      <c r="H8" s="28">
        <v>0.79200000000000004</v>
      </c>
      <c r="I8" s="1" t="s">
        <v>198</v>
      </c>
      <c r="K8" s="1" t="s">
        <v>276</v>
      </c>
      <c r="L8" s="1" t="s">
        <v>251</v>
      </c>
      <c r="M8" t="s">
        <v>228</v>
      </c>
      <c r="O8">
        <v>2</v>
      </c>
      <c r="Q8" t="s">
        <v>235</v>
      </c>
      <c r="S8" s="1"/>
    </row>
    <row r="9" spans="1:20" ht="78">
      <c r="A9" s="1">
        <v>8</v>
      </c>
      <c r="B9" t="s">
        <v>193</v>
      </c>
      <c r="D9" s="1">
        <v>12</v>
      </c>
      <c r="E9" s="1" t="s">
        <v>352</v>
      </c>
      <c r="F9" s="27">
        <v>0.998</v>
      </c>
      <c r="G9" s="1" t="s">
        <v>214</v>
      </c>
      <c r="H9" s="28">
        <v>7.6999999999999999E-2</v>
      </c>
      <c r="I9" s="1" t="s">
        <v>199</v>
      </c>
      <c r="K9" s="1" t="s">
        <v>276</v>
      </c>
      <c r="L9" s="1" t="s">
        <v>250</v>
      </c>
      <c r="M9" t="s">
        <v>231</v>
      </c>
      <c r="O9">
        <v>2</v>
      </c>
      <c r="P9">
        <v>5</v>
      </c>
      <c r="Q9" t="s">
        <v>235</v>
      </c>
      <c r="S9" s="1"/>
    </row>
    <row r="10" spans="1:20" ht="65">
      <c r="A10" s="1">
        <v>9</v>
      </c>
      <c r="B10" t="s">
        <v>193</v>
      </c>
      <c r="D10" s="1">
        <v>11</v>
      </c>
      <c r="E10" s="1" t="s">
        <v>345</v>
      </c>
      <c r="F10" s="27">
        <v>0.78</v>
      </c>
      <c r="G10" t="s">
        <v>353</v>
      </c>
      <c r="H10" s="28">
        <v>0.998</v>
      </c>
      <c r="I10" s="1" t="s">
        <v>200</v>
      </c>
      <c r="K10" s="1" t="s">
        <v>265</v>
      </c>
      <c r="L10" s="1" t="s">
        <v>249</v>
      </c>
      <c r="M10" t="s">
        <v>232</v>
      </c>
      <c r="P10">
        <v>30</v>
      </c>
      <c r="Q10" t="s">
        <v>235</v>
      </c>
      <c r="S10" s="1"/>
    </row>
    <row r="11" spans="1:20" ht="130">
      <c r="A11" s="1">
        <v>10</v>
      </c>
      <c r="B11" t="s">
        <v>193</v>
      </c>
      <c r="D11" s="1">
        <v>10</v>
      </c>
      <c r="E11" s="1" t="s">
        <v>354</v>
      </c>
      <c r="F11" s="27">
        <v>0.25800000000000001</v>
      </c>
      <c r="G11" s="1" t="s">
        <v>354</v>
      </c>
      <c r="H11" s="28">
        <v>0.71399999999999997</v>
      </c>
      <c r="I11" s="1" t="s">
        <v>201</v>
      </c>
      <c r="J11" s="1" t="s">
        <v>256</v>
      </c>
      <c r="K11" s="1" t="s">
        <v>266</v>
      </c>
      <c r="L11" s="1" t="s">
        <v>246</v>
      </c>
      <c r="M11" s="1" t="s">
        <v>217</v>
      </c>
      <c r="N11" t="s">
        <v>234</v>
      </c>
      <c r="O11">
        <v>200</v>
      </c>
      <c r="P11">
        <v>200</v>
      </c>
      <c r="Q11" s="1" t="s">
        <v>365</v>
      </c>
      <c r="S11" s="1"/>
    </row>
    <row r="12" spans="1:20" ht="78">
      <c r="A12" s="1">
        <v>11</v>
      </c>
      <c r="B12" t="s">
        <v>193</v>
      </c>
      <c r="D12" s="1">
        <v>9</v>
      </c>
      <c r="E12" t="s">
        <v>368</v>
      </c>
      <c r="F12" s="27">
        <v>0.83099999999999996</v>
      </c>
      <c r="G12" t="s">
        <v>354</v>
      </c>
      <c r="H12" s="28">
        <v>0.25800000000000001</v>
      </c>
      <c r="I12" s="1" t="s">
        <v>202</v>
      </c>
      <c r="J12" s="1" t="s">
        <v>257</v>
      </c>
      <c r="K12" s="1" t="s">
        <v>267</v>
      </c>
      <c r="L12" s="1" t="s">
        <v>245</v>
      </c>
      <c r="M12" s="1" t="s">
        <v>272</v>
      </c>
      <c r="O12">
        <v>24</v>
      </c>
      <c r="P12">
        <v>60</v>
      </c>
      <c r="Q12" t="s">
        <v>236</v>
      </c>
      <c r="S12" s="1"/>
    </row>
    <row r="13" spans="1:20" ht="182">
      <c r="A13" s="1">
        <v>12</v>
      </c>
      <c r="B13" t="s">
        <v>193</v>
      </c>
      <c r="D13" s="1">
        <v>8</v>
      </c>
      <c r="E13" s="1" t="s">
        <v>356</v>
      </c>
      <c r="F13" s="27">
        <v>0.45400000000000001</v>
      </c>
      <c r="G13" s="1" t="s">
        <v>355</v>
      </c>
      <c r="H13" s="28">
        <v>0.83099999999999996</v>
      </c>
      <c r="I13" s="1" t="s">
        <v>209</v>
      </c>
      <c r="J13" s="1" t="s">
        <v>296</v>
      </c>
      <c r="K13" s="1" t="s">
        <v>268</v>
      </c>
      <c r="L13" s="1" t="s">
        <v>244</v>
      </c>
      <c r="M13" s="1" t="s">
        <v>218</v>
      </c>
      <c r="N13" s="1" t="s">
        <v>273</v>
      </c>
      <c r="O13">
        <v>100</v>
      </c>
      <c r="P13">
        <v>150</v>
      </c>
      <c r="Q13" t="s">
        <v>235</v>
      </c>
      <c r="S13" s="1"/>
    </row>
    <row r="14" spans="1:20" ht="169">
      <c r="A14" s="1">
        <v>13</v>
      </c>
      <c r="B14" t="s">
        <v>193</v>
      </c>
      <c r="D14" s="1">
        <v>7</v>
      </c>
      <c r="E14" s="1" t="s">
        <v>357</v>
      </c>
      <c r="F14" s="27">
        <v>0.88400000000000001</v>
      </c>
      <c r="G14" s="1" t="s">
        <v>356</v>
      </c>
      <c r="H14" s="28">
        <v>0.45400000000000001</v>
      </c>
      <c r="I14" s="1" t="s">
        <v>203</v>
      </c>
      <c r="J14" s="1" t="s">
        <v>297</v>
      </c>
      <c r="K14" s="1" t="s">
        <v>268</v>
      </c>
      <c r="L14" s="1" t="s">
        <v>243</v>
      </c>
      <c r="M14" s="1" t="s">
        <v>218</v>
      </c>
      <c r="N14" s="1" t="s">
        <v>277</v>
      </c>
      <c r="O14" s="1">
        <v>200</v>
      </c>
      <c r="P14">
        <v>400</v>
      </c>
      <c r="Q14" s="1" t="s">
        <v>364</v>
      </c>
      <c r="S14" s="1"/>
    </row>
    <row r="15" spans="1:20" ht="169">
      <c r="A15" s="1">
        <v>14</v>
      </c>
      <c r="B15" t="s">
        <v>193</v>
      </c>
      <c r="D15" s="1">
        <v>6</v>
      </c>
      <c r="E15" s="1" t="s">
        <v>357</v>
      </c>
      <c r="F15" s="27">
        <v>0.88370000000000004</v>
      </c>
      <c r="G15" s="1" t="s">
        <v>357</v>
      </c>
      <c r="H15" s="29">
        <v>0.88400000000000001</v>
      </c>
      <c r="I15" s="1" t="s">
        <v>204</v>
      </c>
      <c r="J15" s="1" t="s">
        <v>258</v>
      </c>
      <c r="K15" s="1" t="s">
        <v>269</v>
      </c>
      <c r="L15" s="1" t="s">
        <v>242</v>
      </c>
      <c r="M15" s="1" t="s">
        <v>216</v>
      </c>
      <c r="N15" s="1" t="s">
        <v>219</v>
      </c>
      <c r="P15">
        <v>80</v>
      </c>
      <c r="Q15" t="s">
        <v>236</v>
      </c>
      <c r="S15" s="1"/>
    </row>
    <row r="16" spans="1:20" ht="169">
      <c r="A16" s="1">
        <v>15</v>
      </c>
      <c r="B16" t="s">
        <v>193</v>
      </c>
      <c r="D16" s="1">
        <v>5</v>
      </c>
      <c r="E16" s="1" t="s">
        <v>357</v>
      </c>
      <c r="F16" s="27">
        <v>0.54800000000000004</v>
      </c>
      <c r="G16" s="1" t="s">
        <v>357</v>
      </c>
      <c r="H16" s="29">
        <v>0.88370000000000004</v>
      </c>
      <c r="I16" s="1" t="s">
        <v>205</v>
      </c>
      <c r="J16" s="1" t="s">
        <v>259</v>
      </c>
      <c r="K16" s="1" t="s">
        <v>350</v>
      </c>
      <c r="L16" s="1" t="s">
        <v>241</v>
      </c>
      <c r="M16" s="1" t="s">
        <v>220</v>
      </c>
      <c r="N16" s="1" t="s">
        <v>274</v>
      </c>
      <c r="P16">
        <v>600</v>
      </c>
      <c r="Q16" t="s">
        <v>235</v>
      </c>
      <c r="R16" t="s">
        <v>221</v>
      </c>
      <c r="S16" s="1"/>
    </row>
    <row r="17" spans="1:20" ht="78">
      <c r="A17" s="1">
        <v>16</v>
      </c>
      <c r="B17" t="s">
        <v>193</v>
      </c>
      <c r="D17" s="1">
        <v>4</v>
      </c>
      <c r="E17" s="1" t="s">
        <v>357</v>
      </c>
      <c r="F17" s="27">
        <v>0.10050000000000001</v>
      </c>
      <c r="G17" s="1" t="s">
        <v>357</v>
      </c>
      <c r="H17" s="28">
        <v>0.10100000000000001</v>
      </c>
      <c r="I17" s="1" t="s">
        <v>206</v>
      </c>
      <c r="J17" s="1" t="s">
        <v>260</v>
      </c>
      <c r="K17" s="1" t="s">
        <v>270</v>
      </c>
      <c r="L17" s="1" t="s">
        <v>240</v>
      </c>
      <c r="M17" s="1" t="s">
        <v>222</v>
      </c>
      <c r="N17" t="s">
        <v>223</v>
      </c>
      <c r="Q17" t="s">
        <v>237</v>
      </c>
      <c r="S17" s="1"/>
    </row>
    <row r="18" spans="1:20" ht="104">
      <c r="A18" s="1">
        <v>17</v>
      </c>
      <c r="B18" t="s">
        <v>193</v>
      </c>
      <c r="D18" s="1">
        <v>3</v>
      </c>
      <c r="E18" s="1" t="s">
        <v>358</v>
      </c>
      <c r="F18" s="27">
        <v>1.4999999999999999E-2</v>
      </c>
      <c r="G18" s="1" t="s">
        <v>366</v>
      </c>
      <c r="H18" s="28">
        <v>0.40200000000000002</v>
      </c>
      <c r="I18" s="1" t="s">
        <v>207</v>
      </c>
      <c r="J18" s="1" t="s">
        <v>261</v>
      </c>
      <c r="K18" s="1" t="s">
        <v>270</v>
      </c>
      <c r="L18" s="1" t="s">
        <v>239</v>
      </c>
      <c r="M18" s="1" t="s">
        <v>224</v>
      </c>
      <c r="N18" s="1" t="s">
        <v>225</v>
      </c>
      <c r="O18">
        <v>150</v>
      </c>
      <c r="Q18" t="s">
        <v>235</v>
      </c>
      <c r="S18" s="1"/>
    </row>
    <row r="19" spans="1:20" ht="143">
      <c r="A19" s="1">
        <v>18</v>
      </c>
      <c r="B19" t="s">
        <v>193</v>
      </c>
      <c r="D19" s="1">
        <v>2</v>
      </c>
      <c r="E19" s="1" t="s">
        <v>215</v>
      </c>
      <c r="F19" s="27"/>
      <c r="G19" s="1" t="s">
        <v>215</v>
      </c>
      <c r="H19" s="1"/>
      <c r="I19" s="1" t="s">
        <v>208</v>
      </c>
      <c r="J19" s="1" t="s">
        <v>262</v>
      </c>
      <c r="L19" s="1" t="s">
        <v>248</v>
      </c>
      <c r="M19" s="1" t="s">
        <v>226</v>
      </c>
      <c r="Q19" t="s">
        <v>238</v>
      </c>
      <c r="S19" s="1"/>
    </row>
    <row r="20" spans="1:20" ht="130">
      <c r="A20" s="1">
        <v>19</v>
      </c>
      <c r="B20" t="s">
        <v>294</v>
      </c>
      <c r="D20" s="1">
        <v>1</v>
      </c>
      <c r="E20" s="1" t="s">
        <v>182</v>
      </c>
      <c r="F20" s="27"/>
      <c r="G20" s="1" t="s">
        <v>182</v>
      </c>
      <c r="H20" s="29"/>
      <c r="I20" s="1" t="s">
        <v>211</v>
      </c>
      <c r="J20" s="1" t="s">
        <v>263</v>
      </c>
      <c r="K20" s="1" t="s">
        <v>271</v>
      </c>
      <c r="L20" s="1" t="s">
        <v>247</v>
      </c>
      <c r="M20" s="1" t="s">
        <v>227</v>
      </c>
      <c r="N20" s="1" t="s">
        <v>275</v>
      </c>
      <c r="P20">
        <v>6000</v>
      </c>
      <c r="S20" s="1"/>
    </row>
    <row r="21" spans="1:20">
      <c r="A21" s="1">
        <v>20</v>
      </c>
      <c r="B21" s="1" t="s">
        <v>289</v>
      </c>
      <c r="D21" s="1">
        <v>7</v>
      </c>
      <c r="E21" s="1" t="str">
        <f t="shared" ref="E21:M21" si="0">E2</f>
        <v>Holocene</v>
      </c>
      <c r="G21" s="1" t="str">
        <f t="shared" si="0"/>
        <v>Holocene</v>
      </c>
      <c r="H21" s="29"/>
      <c r="I21" s="1" t="str">
        <f t="shared" si="0"/>
        <v>River bed deposits</v>
      </c>
      <c r="K21" s="1" t="str">
        <f t="shared" si="0"/>
        <v>fluvial indet.</v>
      </c>
      <c r="L21" s="1" t="str">
        <f t="shared" si="0"/>
        <v>other young and minor deposits, such as landslide deposits, flood-plain and valley-floor deposits, colluvial and alluvial cone deposits, and river-bed deposits</v>
      </c>
      <c r="M21" s="1" t="str">
        <f t="shared" si="0"/>
        <v>gravel; sand</v>
      </c>
      <c r="N21" s="1"/>
      <c r="S21" s="1"/>
      <c r="T21">
        <v>8</v>
      </c>
    </row>
    <row r="22" spans="1:20">
      <c r="A22" s="1">
        <v>21</v>
      </c>
      <c r="B22" s="1" t="s">
        <v>289</v>
      </c>
      <c r="D22" s="1">
        <v>7</v>
      </c>
      <c r="E22" s="1" t="str">
        <f t="shared" ref="E22:M22" si="1">E3</f>
        <v>Holocene</v>
      </c>
      <c r="G22" s="1" t="str">
        <f t="shared" si="1"/>
        <v>Holocene</v>
      </c>
      <c r="H22" s="1"/>
      <c r="I22" s="1" t="str">
        <f t="shared" si="1"/>
        <v>Floodplain and valley-floor deposits</v>
      </c>
      <c r="K22" s="1" t="str">
        <f t="shared" si="1"/>
        <v>fluvial indet.</v>
      </c>
      <c r="L22" s="1" t="str">
        <f t="shared" si="1"/>
        <v>other young and minor deposits, such as landslide deposits, flood-plain and valley-floor deposits, colluvial and alluvial cone deposits, and river-bed deposits</v>
      </c>
      <c r="M22" s="1" t="str">
        <f t="shared" si="1"/>
        <v>gravel; sand; mud</v>
      </c>
      <c r="N22" s="1"/>
      <c r="S22" s="1"/>
      <c r="T22">
        <v>8</v>
      </c>
    </row>
    <row r="23" spans="1:20" ht="182">
      <c r="A23" s="1">
        <v>22</v>
      </c>
      <c r="B23" s="1" t="s">
        <v>289</v>
      </c>
      <c r="D23" s="1">
        <v>6</v>
      </c>
      <c r="E23" s="1" t="str">
        <f t="shared" ref="E23:N23" si="2">E13</f>
        <v>Langhian</v>
      </c>
      <c r="F23" s="1">
        <f t="shared" si="2"/>
        <v>0.45400000000000001</v>
      </c>
      <c r="G23" s="1" t="str">
        <f t="shared" si="2"/>
        <v>Serravallian</v>
      </c>
      <c r="H23" s="1">
        <f t="shared" si="2"/>
        <v>0.83099999999999996</v>
      </c>
      <c r="I23" s="1" t="str">
        <f t="shared" si="2"/>
        <v>Zyūmonzi Formation</v>
      </c>
      <c r="J23" s="1" t="str">
        <f t="shared" si="2"/>
        <v>Zyūmonzi Formation, Sannohe Group</v>
      </c>
      <c r="K23" s="1" t="str">
        <f t="shared" si="2"/>
        <v>shallow marine</v>
      </c>
      <c r="L23" s="1" t="str">
        <f t="shared" si="2"/>
        <v>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 volcaniclastic rocks (Shimotomai Volcaniclastic Rock Member). A glauconite-rich sandstone bed is intercalated within the upper part of this formation.</v>
      </c>
      <c r="M23" s="1" t="str">
        <f t="shared" si="2"/>
        <v>sandstone</v>
      </c>
      <c r="N23" s="1" t="str">
        <f t="shared" si="2"/>
        <v>conglomerate; coquina conglomerate; volcaniclastic</v>
      </c>
      <c r="O23">
        <v>100</v>
      </c>
      <c r="P23">
        <v>150</v>
      </c>
      <c r="Q23" t="s">
        <v>235</v>
      </c>
      <c r="S23" s="1"/>
    </row>
    <row r="24" spans="1:20" ht="169">
      <c r="A24" s="1">
        <v>23</v>
      </c>
      <c r="B24" s="1" t="s">
        <v>289</v>
      </c>
      <c r="D24" s="1">
        <v>5</v>
      </c>
      <c r="E24" s="1" t="str">
        <f t="shared" ref="E24:N24" si="3">E14</f>
        <v>Burdigalian</v>
      </c>
      <c r="F24" s="1">
        <f t="shared" si="3"/>
        <v>0.88400000000000001</v>
      </c>
      <c r="G24" s="1" t="str">
        <f t="shared" si="3"/>
        <v>Langhian</v>
      </c>
      <c r="H24" s="1">
        <f t="shared" si="3"/>
        <v>0.45400000000000001</v>
      </c>
      <c r="I24" s="1" t="str">
        <f t="shared" si="3"/>
        <v>Suenomatuyama Formation</v>
      </c>
      <c r="J24" s="1" t="str">
        <f t="shared" si="3"/>
        <v>Suenomatuyama Formation, Shiratorigawa Group</v>
      </c>
      <c r="K24" s="1" t="str">
        <f t="shared" si="3"/>
        <v>shallow marine</v>
      </c>
      <c r="L24" s="1" t="str">
        <f t="shared" si="3"/>
        <v>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v>
      </c>
      <c r="M24" s="1" t="str">
        <f t="shared" si="3"/>
        <v>sandstone</v>
      </c>
      <c r="N24" s="1" t="str">
        <f t="shared" si="3"/>
        <v>conglomerate; volcaniclastic; lava; intrusive rocks; mudstone</v>
      </c>
      <c r="Q24" s="1" t="s">
        <v>364</v>
      </c>
      <c r="S24" s="1"/>
    </row>
    <row r="25" spans="1:20" ht="169">
      <c r="A25" s="1">
        <v>24</v>
      </c>
      <c r="B25" s="1" t="s">
        <v>289</v>
      </c>
      <c r="D25" s="1">
        <v>4</v>
      </c>
      <c r="E25" s="1" t="str">
        <f t="shared" ref="E25:N25" si="4">E15</f>
        <v>Burdigalian</v>
      </c>
      <c r="F25" s="1">
        <f t="shared" si="4"/>
        <v>0.88370000000000004</v>
      </c>
      <c r="G25" s="1" t="str">
        <f t="shared" si="4"/>
        <v>Burdigalian</v>
      </c>
      <c r="H25" s="1">
        <f t="shared" si="4"/>
        <v>0.88400000000000001</v>
      </c>
      <c r="I25" s="1" t="str">
        <f t="shared" si="4"/>
        <v>Kadonosawa Formation</v>
      </c>
      <c r="J25" s="1" t="str">
        <f t="shared" si="4"/>
        <v>Kadonosawa Formation, Shiratorigawa Group</v>
      </c>
      <c r="K25" s="1" t="str">
        <f t="shared" si="4"/>
        <v>shallow marine to bathyal</v>
      </c>
      <c r="L25" s="1" t="str">
        <f t="shared" si="4"/>
        <v>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v>
      </c>
      <c r="M25" s="1" t="str">
        <f t="shared" si="4"/>
        <v>siltstone</v>
      </c>
      <c r="N25" s="1" t="str">
        <f t="shared" si="4"/>
        <v>mudstone; sandstone; sandy mudstone; conglomerate</v>
      </c>
      <c r="Q25" t="s">
        <v>236</v>
      </c>
      <c r="S25" s="1"/>
    </row>
    <row r="26" spans="1:20" ht="169">
      <c r="A26" s="1">
        <v>25</v>
      </c>
      <c r="B26" s="1" t="s">
        <v>289</v>
      </c>
      <c r="D26" s="1">
        <v>3</v>
      </c>
      <c r="E26" s="1" t="str">
        <f t="shared" ref="E26:N26" si="5">E16</f>
        <v>Burdigalian</v>
      </c>
      <c r="F26" s="1">
        <f t="shared" si="5"/>
        <v>0.54800000000000004</v>
      </c>
      <c r="G26" s="1" t="str">
        <f t="shared" si="5"/>
        <v>Burdigalian</v>
      </c>
      <c r="H26" s="1">
        <f t="shared" si="5"/>
        <v>0.88370000000000004</v>
      </c>
      <c r="I26" s="1" t="str">
        <f t="shared" si="5"/>
        <v>Yotuyaku Formation</v>
      </c>
      <c r="J26" s="1" t="str">
        <f t="shared" si="5"/>
        <v>Yotuyaku Formation, Shiratorigawa Group</v>
      </c>
      <c r="K26" s="1" t="str">
        <f t="shared" si="5"/>
        <v>fluvial indet.; lacustrine indet.; shallow marine</v>
      </c>
      <c r="L26" s="1" t="str">
        <f t="shared" si="5"/>
        <v>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v>
      </c>
      <c r="M26" s="1" t="str">
        <f t="shared" si="5"/>
        <v>conglomerate; sandstone; mudstone</v>
      </c>
      <c r="N26" s="1" t="str">
        <f t="shared" si="5"/>
        <v>volcaniclastic; intrusive rocks; muddy sandstone</v>
      </c>
      <c r="P26">
        <v>600</v>
      </c>
      <c r="Q26" t="s">
        <v>235</v>
      </c>
      <c r="R26" t="s">
        <v>221</v>
      </c>
      <c r="S26" s="1"/>
    </row>
    <row r="27" spans="1:20" ht="104">
      <c r="A27" s="1">
        <v>26</v>
      </c>
      <c r="B27" s="1" t="s">
        <v>289</v>
      </c>
      <c r="D27" s="1">
        <v>2</v>
      </c>
      <c r="E27" s="1" t="str">
        <f t="shared" ref="E27:N27" si="6">E18</f>
        <v>Aquitanian</v>
      </c>
      <c r="F27" s="1">
        <f t="shared" si="6"/>
        <v>1.4999999999999999E-2</v>
      </c>
      <c r="G27" s="1" t="str">
        <f t="shared" si="6"/>
        <v>Aquitanian</v>
      </c>
      <c r="H27" s="1">
        <f t="shared" si="6"/>
        <v>0.40200000000000002</v>
      </c>
      <c r="I27" s="1" t="str">
        <f t="shared" si="6"/>
        <v>Nisatai Formation</v>
      </c>
      <c r="J27" s="1" t="str">
        <f t="shared" si="6"/>
        <v>Nisatai Formation</v>
      </c>
      <c r="K27" s="1" t="str">
        <f t="shared" si="6"/>
        <v>non-marine</v>
      </c>
      <c r="L27" s="1" t="str">
        <f t="shared" si="6"/>
        <v>The Nisatai Formation is composed of upper welded rhyolitic pumice lapilli tuff and lower conglomerate, sandstone, and mudstone. This formation is non-marine deposits, and unconformably covers the Jurassic strata and the Cretaceous plutonic rocks.</v>
      </c>
      <c r="M27" s="1" t="str">
        <f t="shared" si="6"/>
        <v>rhyolite lapilli tuff</v>
      </c>
      <c r="N27" s="1" t="str">
        <f t="shared" si="6"/>
        <v>tuff breccia; conglomerate; sandstone; mudstone; lignite</v>
      </c>
      <c r="O27">
        <v>200</v>
      </c>
      <c r="Q27" t="s">
        <v>235</v>
      </c>
      <c r="S27" s="1"/>
    </row>
    <row r="28" spans="1:20">
      <c r="A28" s="1">
        <v>27</v>
      </c>
      <c r="B28" s="1" t="s">
        <v>289</v>
      </c>
      <c r="D28" s="1">
        <v>1</v>
      </c>
      <c r="E28" s="1" t="str">
        <f t="shared" ref="E28:N28" si="7">E20</f>
        <v>Middle Jurassic</v>
      </c>
      <c r="G28" s="1" t="str">
        <f t="shared" si="7"/>
        <v>Middle Jurassic</v>
      </c>
      <c r="H28" s="1"/>
      <c r="I28" s="1" t="str">
        <f t="shared" si="7"/>
        <v>Kuzumaki Formation</v>
      </c>
      <c r="J28" s="1" t="str">
        <f t="shared" si="7"/>
        <v>Kuzumaki Formation</v>
      </c>
      <c r="K28" s="1" t="str">
        <f t="shared" si="7"/>
        <v>deep marine</v>
      </c>
      <c r="L28" s="1" t="str">
        <f t="shared" si="7"/>
        <v>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v>
      </c>
      <c r="M28" s="1" t="str">
        <f t="shared" si="7"/>
        <v>phyllitic mudstone; pelitic mixed rock</v>
      </c>
      <c r="N28" s="1" t="str">
        <f t="shared" si="7"/>
        <v>mafic; limestone; chert; siliceous mudstone; sandstone</v>
      </c>
      <c r="P28">
        <v>6000</v>
      </c>
      <c r="S28" s="1"/>
    </row>
    <row r="29" spans="1:20">
      <c r="A29" s="1">
        <v>28</v>
      </c>
      <c r="B29" s="1" t="s">
        <v>299</v>
      </c>
      <c r="D29" s="1">
        <v>15</v>
      </c>
      <c r="E29" s="1" t="str">
        <f t="shared" ref="E29:M29" si="8">E2</f>
        <v>Holocene</v>
      </c>
      <c r="G29" s="1" t="str">
        <f t="shared" si="8"/>
        <v>Holocene</v>
      </c>
      <c r="H29" s="1"/>
      <c r="I29" s="1" t="str">
        <f t="shared" si="8"/>
        <v>River bed deposits</v>
      </c>
      <c r="K29" s="1" t="str">
        <f t="shared" si="8"/>
        <v>fluvial indet.</v>
      </c>
      <c r="L29" s="1" t="str">
        <f t="shared" si="8"/>
        <v>other young and minor deposits, such as landslide deposits, flood-plain and valley-floor deposits, colluvial and alluvial cone deposits, and river-bed deposits</v>
      </c>
      <c r="M29" s="1" t="str">
        <f t="shared" si="8"/>
        <v>gravel; sand</v>
      </c>
      <c r="N29" s="1"/>
      <c r="S29" s="1"/>
      <c r="T29">
        <v>16</v>
      </c>
    </row>
    <row r="30" spans="1:20" ht="65">
      <c r="A30" s="1">
        <v>29</v>
      </c>
      <c r="B30" s="1" t="s">
        <v>299</v>
      </c>
      <c r="D30" s="1">
        <v>14</v>
      </c>
      <c r="E30" s="1" t="s">
        <v>295</v>
      </c>
      <c r="F30" s="27">
        <v>0.214</v>
      </c>
      <c r="G30" t="s">
        <v>367</v>
      </c>
      <c r="H30" s="28"/>
      <c r="I30" s="1" t="s">
        <v>301</v>
      </c>
      <c r="K30" s="1" t="s">
        <v>276</v>
      </c>
      <c r="L30" s="1" t="s">
        <v>254</v>
      </c>
      <c r="M30" s="1" t="s">
        <v>228</v>
      </c>
      <c r="S30" s="1"/>
      <c r="T30">
        <v>16</v>
      </c>
    </row>
    <row r="31" spans="1:20" ht="65">
      <c r="A31" s="1">
        <v>30</v>
      </c>
      <c r="B31" s="1" t="s">
        <v>299</v>
      </c>
      <c r="D31" s="1">
        <v>13</v>
      </c>
      <c r="E31" s="1" t="s">
        <v>314</v>
      </c>
      <c r="F31" s="27">
        <v>0.79300000000000004</v>
      </c>
      <c r="G31" t="s">
        <v>295</v>
      </c>
      <c r="H31" s="28">
        <v>0.214</v>
      </c>
      <c r="I31" s="1" t="s">
        <v>302</v>
      </c>
      <c r="K31" s="1" t="s">
        <v>276</v>
      </c>
      <c r="L31" s="1" t="s">
        <v>253</v>
      </c>
      <c r="M31" s="1" t="s">
        <v>231</v>
      </c>
      <c r="O31">
        <v>3.5</v>
      </c>
      <c r="P31">
        <v>3.5</v>
      </c>
      <c r="Q31" t="s">
        <v>342</v>
      </c>
      <c r="S31" s="1"/>
      <c r="T31">
        <v>15</v>
      </c>
    </row>
    <row r="32" spans="1:20" ht="26">
      <c r="A32" s="1">
        <v>31</v>
      </c>
      <c r="B32" s="1" t="s">
        <v>299</v>
      </c>
      <c r="D32" s="1">
        <v>12</v>
      </c>
      <c r="E32" s="1" t="str">
        <f t="shared" ref="E32:H32" si="9">E6</f>
        <v>Late Pleistocene</v>
      </c>
      <c r="F32" s="1">
        <f t="shared" si="9"/>
        <v>0.96799999999999997</v>
      </c>
      <c r="G32" s="1" t="str">
        <f t="shared" si="9"/>
        <v>Late Pleistocene</v>
      </c>
      <c r="H32" s="27">
        <f t="shared" si="9"/>
        <v>0.96840000000000004</v>
      </c>
      <c r="I32" s="1" t="str">
        <f>I6</f>
        <v>Towada-Hachinohe Pyroclastic Flow Deposits</v>
      </c>
      <c r="K32" s="1" t="str">
        <f t="shared" ref="K32:M32" si="10">K6</f>
        <v>pyroclastic flow</v>
      </c>
      <c r="L32" s="1" t="str">
        <f t="shared" si="10"/>
        <v>The pyroclastic flow deposits, derived from Towada volcano, are subdivided into two deposits, namely Towada-Ofudo and Towada-Hachinohe Pyroclastic Flow Deposits. These deposits are intercalated between the middle and lower terrace deposits.</v>
      </c>
      <c r="M32" s="1" t="str">
        <f t="shared" si="10"/>
        <v>pumice lapilli; ash</v>
      </c>
      <c r="N32" s="1"/>
      <c r="P32">
        <v>20</v>
      </c>
      <c r="S32" s="1"/>
    </row>
    <row r="33" spans="1:20" ht="91">
      <c r="A33" s="1">
        <v>32</v>
      </c>
      <c r="B33" s="1" t="s">
        <v>299</v>
      </c>
      <c r="D33" s="1">
        <v>11</v>
      </c>
      <c r="E33" s="1" t="s">
        <v>314</v>
      </c>
      <c r="F33" s="27">
        <v>0.14499999999999999</v>
      </c>
      <c r="G33" t="s">
        <v>361</v>
      </c>
      <c r="H33" s="28">
        <v>0.79300000000000004</v>
      </c>
      <c r="I33" s="1" t="s">
        <v>303</v>
      </c>
      <c r="K33" s="1" t="s">
        <v>276</v>
      </c>
      <c r="L33" s="1" t="s">
        <v>329</v>
      </c>
      <c r="M33" s="1" t="s">
        <v>228</v>
      </c>
      <c r="O33">
        <v>1.6</v>
      </c>
      <c r="Q33" t="s">
        <v>342</v>
      </c>
      <c r="S33" s="1"/>
    </row>
    <row r="34" spans="1:20" ht="91">
      <c r="A34" s="1">
        <v>33</v>
      </c>
      <c r="B34" s="1" t="s">
        <v>299</v>
      </c>
      <c r="D34" s="1">
        <v>10</v>
      </c>
      <c r="E34" s="1" t="s">
        <v>352</v>
      </c>
      <c r="F34" s="27">
        <v>0.998</v>
      </c>
      <c r="G34" t="s">
        <v>314</v>
      </c>
      <c r="H34" s="28">
        <v>0.111</v>
      </c>
      <c r="I34" s="1" t="s">
        <v>304</v>
      </c>
      <c r="K34" s="1" t="s">
        <v>330</v>
      </c>
      <c r="L34" s="1" t="s">
        <v>328</v>
      </c>
      <c r="M34" t="s">
        <v>231</v>
      </c>
      <c r="O34">
        <v>1</v>
      </c>
      <c r="P34">
        <v>5</v>
      </c>
      <c r="Q34" t="s">
        <v>342</v>
      </c>
      <c r="S34" s="1"/>
    </row>
    <row r="35" spans="1:20" ht="52">
      <c r="A35" s="1">
        <v>34</v>
      </c>
      <c r="B35" s="1" t="s">
        <v>299</v>
      </c>
      <c r="D35" s="1">
        <v>9</v>
      </c>
      <c r="E35" s="1" t="s">
        <v>352</v>
      </c>
      <c r="F35" s="27">
        <v>0.57999999999999996</v>
      </c>
      <c r="G35" t="s">
        <v>295</v>
      </c>
      <c r="H35" s="28"/>
      <c r="I35" s="1" t="s">
        <v>305</v>
      </c>
      <c r="K35" s="1" t="s">
        <v>265</v>
      </c>
      <c r="L35" s="1" t="s">
        <v>327</v>
      </c>
      <c r="M35" t="s">
        <v>228</v>
      </c>
      <c r="P35">
        <v>20</v>
      </c>
      <c r="Q35" t="s">
        <v>342</v>
      </c>
      <c r="S35" s="1"/>
      <c r="T35">
        <v>16</v>
      </c>
    </row>
    <row r="36" spans="1:20" ht="65">
      <c r="A36" s="1">
        <v>35</v>
      </c>
      <c r="B36" s="1" t="s">
        <v>299</v>
      </c>
      <c r="D36" s="1">
        <v>8</v>
      </c>
      <c r="E36" s="1" t="s">
        <v>345</v>
      </c>
      <c r="F36" s="27">
        <v>0.19500000000000001</v>
      </c>
      <c r="G36" s="1" t="s">
        <v>352</v>
      </c>
      <c r="H36" s="28">
        <v>0.57999999999999996</v>
      </c>
      <c r="I36" s="1" t="s">
        <v>307</v>
      </c>
      <c r="J36" t="s">
        <v>306</v>
      </c>
      <c r="K36" s="1" t="s">
        <v>265</v>
      </c>
      <c r="L36" s="1" t="s">
        <v>326</v>
      </c>
      <c r="M36" s="1" t="s">
        <v>337</v>
      </c>
      <c r="N36" t="s">
        <v>338</v>
      </c>
      <c r="P36">
        <v>80</v>
      </c>
      <c r="Q36" t="s">
        <v>342</v>
      </c>
      <c r="S36" s="1"/>
    </row>
    <row r="37" spans="1:20" ht="104">
      <c r="A37" s="1">
        <v>36</v>
      </c>
      <c r="B37" s="1" t="s">
        <v>299</v>
      </c>
      <c r="D37" s="1">
        <v>7</v>
      </c>
      <c r="E37" s="1" t="s">
        <v>359</v>
      </c>
      <c r="F37" s="27">
        <v>0.65100000000000002</v>
      </c>
      <c r="G37" t="s">
        <v>360</v>
      </c>
      <c r="H37" s="28">
        <v>0.192</v>
      </c>
      <c r="I37" s="1" t="s">
        <v>309</v>
      </c>
      <c r="J37" t="s">
        <v>308</v>
      </c>
      <c r="K37" s="1" t="s">
        <v>270</v>
      </c>
      <c r="L37" s="1" t="s">
        <v>325</v>
      </c>
      <c r="M37" s="1" t="s">
        <v>335</v>
      </c>
      <c r="N37" s="1" t="s">
        <v>336</v>
      </c>
      <c r="P37">
        <v>170</v>
      </c>
      <c r="Q37" t="s">
        <v>342</v>
      </c>
      <c r="S37" s="1"/>
    </row>
    <row r="38" spans="1:20" ht="182">
      <c r="A38" s="1">
        <v>37</v>
      </c>
      <c r="B38" s="1" t="s">
        <v>299</v>
      </c>
      <c r="D38" s="1">
        <v>6</v>
      </c>
      <c r="E38" s="1" t="str">
        <f t="shared" ref="E38:N38" si="11">E13</f>
        <v>Langhian</v>
      </c>
      <c r="F38" s="1">
        <f t="shared" si="11"/>
        <v>0.45400000000000001</v>
      </c>
      <c r="G38" s="1" t="str">
        <f t="shared" si="11"/>
        <v>Serravallian</v>
      </c>
      <c r="H38" s="1">
        <f t="shared" si="11"/>
        <v>0.83099999999999996</v>
      </c>
      <c r="I38" s="1" t="str">
        <f t="shared" si="11"/>
        <v>Zyūmonzi Formation</v>
      </c>
      <c r="J38" s="1" t="str">
        <f t="shared" si="11"/>
        <v>Zyūmonzi Formation, Sannohe Group</v>
      </c>
      <c r="K38" s="1" t="str">
        <f t="shared" si="11"/>
        <v>shallow marine</v>
      </c>
      <c r="L38" s="1" t="str">
        <f t="shared" si="11"/>
        <v>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 volcaniclastic rocks (Shimotomai Volcaniclastic Rock Member). A glauconite-rich sandstone bed is intercalated within the upper part of this formation.</v>
      </c>
      <c r="M38" s="1" t="str">
        <f t="shared" si="11"/>
        <v>sandstone</v>
      </c>
      <c r="N38" s="1" t="str">
        <f t="shared" si="11"/>
        <v>conglomerate; coquina conglomerate; volcaniclastic</v>
      </c>
      <c r="O38">
        <v>100</v>
      </c>
      <c r="P38">
        <v>150</v>
      </c>
      <c r="Q38" t="s">
        <v>342</v>
      </c>
      <c r="S38" s="1"/>
    </row>
    <row r="39" spans="1:20" ht="169">
      <c r="A39" s="1">
        <v>38</v>
      </c>
      <c r="B39" s="1" t="s">
        <v>299</v>
      </c>
      <c r="D39" s="1">
        <v>5</v>
      </c>
      <c r="E39" s="1" t="str">
        <f t="shared" ref="E39:H39" si="12">E15</f>
        <v>Burdigalian</v>
      </c>
      <c r="F39" s="1">
        <f t="shared" si="12"/>
        <v>0.88370000000000004</v>
      </c>
      <c r="G39" s="1" t="str">
        <f t="shared" si="12"/>
        <v>Burdigalian</v>
      </c>
      <c r="H39" s="1">
        <f t="shared" si="12"/>
        <v>0.88400000000000001</v>
      </c>
      <c r="I39" s="1" t="str">
        <f>I15</f>
        <v>Kadonosawa Formation</v>
      </c>
      <c r="J39" s="1" t="str">
        <f t="shared" ref="J39:N39" si="13">J15</f>
        <v>Kadonosawa Formation, Shiratorigawa Group</v>
      </c>
      <c r="K39" s="1" t="str">
        <f t="shared" si="13"/>
        <v>shallow marine to bathyal</v>
      </c>
      <c r="L39" s="1" t="str">
        <f t="shared" si="13"/>
        <v>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v>
      </c>
      <c r="M39" s="1" t="str">
        <f t="shared" si="13"/>
        <v>siltstone</v>
      </c>
      <c r="N39" s="1" t="str">
        <f t="shared" si="13"/>
        <v>mudstone; sandstone; sandy mudstone; conglomerate</v>
      </c>
      <c r="Q39" s="1" t="s">
        <v>342</v>
      </c>
      <c r="S39" s="1"/>
    </row>
    <row r="40" spans="1:20" ht="39">
      <c r="A40" s="1">
        <v>39</v>
      </c>
      <c r="B40" s="1" t="s">
        <v>299</v>
      </c>
      <c r="D40" s="1">
        <v>4</v>
      </c>
      <c r="E40" s="1" t="s">
        <v>315</v>
      </c>
      <c r="F40" s="27"/>
      <c r="G40" s="1" t="s">
        <v>215</v>
      </c>
      <c r="H40" s="28"/>
      <c r="I40" s="1" t="s">
        <v>310</v>
      </c>
      <c r="J40" s="1" t="s">
        <v>310</v>
      </c>
      <c r="L40" s="1" t="s">
        <v>324</v>
      </c>
      <c r="M40" s="1" t="s">
        <v>334</v>
      </c>
      <c r="Q40" t="s">
        <v>341</v>
      </c>
      <c r="S40" s="1"/>
    </row>
    <row r="41" spans="1:20" ht="130">
      <c r="A41" s="1">
        <v>40</v>
      </c>
      <c r="B41" s="1" t="s">
        <v>299</v>
      </c>
      <c r="D41" s="1">
        <v>3</v>
      </c>
      <c r="E41" s="1" t="s">
        <v>316</v>
      </c>
      <c r="F41" s="27">
        <v>0.5</v>
      </c>
      <c r="G41" s="1" t="s">
        <v>319</v>
      </c>
      <c r="H41" s="28">
        <v>1</v>
      </c>
      <c r="I41" s="1" t="s">
        <v>312</v>
      </c>
      <c r="J41" s="1" t="s">
        <v>312</v>
      </c>
      <c r="K41" s="1" t="s">
        <v>271</v>
      </c>
      <c r="L41" s="1" t="s">
        <v>323</v>
      </c>
      <c r="M41" t="s">
        <v>333</v>
      </c>
      <c r="N41" s="1" t="s">
        <v>346</v>
      </c>
      <c r="O41">
        <v>2000</v>
      </c>
      <c r="Q41" t="s">
        <v>320</v>
      </c>
      <c r="S41" s="1"/>
    </row>
    <row r="42" spans="1:20" ht="130">
      <c r="A42" s="1">
        <v>41</v>
      </c>
      <c r="B42" s="1" t="s">
        <v>299</v>
      </c>
      <c r="D42" s="1">
        <v>2</v>
      </c>
      <c r="E42" s="1" t="s">
        <v>317</v>
      </c>
      <c r="F42" s="27"/>
      <c r="H42" s="28"/>
      <c r="I42" s="1" t="s">
        <v>311</v>
      </c>
      <c r="J42" s="1" t="s">
        <v>311</v>
      </c>
      <c r="K42" s="1" t="s">
        <v>271</v>
      </c>
      <c r="L42" s="1" t="s">
        <v>322</v>
      </c>
      <c r="M42" s="1" t="s">
        <v>340</v>
      </c>
      <c r="N42" s="1" t="s">
        <v>332</v>
      </c>
      <c r="O42">
        <v>2000</v>
      </c>
      <c r="P42">
        <v>2800</v>
      </c>
      <c r="Q42" t="s">
        <v>320</v>
      </c>
      <c r="S42" s="1"/>
    </row>
    <row r="43" spans="1:20" ht="104">
      <c r="A43" s="1">
        <v>42</v>
      </c>
      <c r="B43" s="1" t="s">
        <v>299</v>
      </c>
      <c r="D43" s="1">
        <v>1</v>
      </c>
      <c r="E43" s="1" t="s">
        <v>318</v>
      </c>
      <c r="F43" s="27"/>
      <c r="H43" s="28"/>
      <c r="I43" s="1" t="s">
        <v>313</v>
      </c>
      <c r="J43" s="1" t="s">
        <v>313</v>
      </c>
      <c r="K43" s="1" t="s">
        <v>271</v>
      </c>
      <c r="L43" s="1" t="s">
        <v>321</v>
      </c>
      <c r="M43" s="1" t="s">
        <v>339</v>
      </c>
      <c r="N43" s="1" t="s">
        <v>331</v>
      </c>
      <c r="P43">
        <v>3500</v>
      </c>
      <c r="S43" s="1"/>
    </row>
  </sheetData>
  <phoneticPr fontId="12"/>
  <conditionalFormatting sqref="K1 M1:S1">
    <cfRule type="expression" dxfId="0" priority="1">
      <formula>ISEVEN($A1)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615FF-0968-7A44-B4C7-56243043F48A}">
  <dimension ref="A1:N4"/>
  <sheetViews>
    <sheetView topLeftCell="I5" zoomScaleNormal="100" workbookViewId="0">
      <selection activeCell="M13" sqref="M13"/>
    </sheetView>
  </sheetViews>
  <sheetFormatPr defaultColWidth="10.90625" defaultRowHeight="13"/>
  <cols>
    <col min="5" max="5" width="14.36328125" customWidth="1"/>
    <col min="6" max="6" width="12.453125" customWidth="1"/>
    <col min="7" max="7" width="13.1796875" customWidth="1"/>
    <col min="9" max="9" width="19.453125" customWidth="1"/>
  </cols>
  <sheetData>
    <row r="1" spans="1:14">
      <c r="A1" s="6" t="s">
        <v>24</v>
      </c>
      <c r="B1" s="6" t="s">
        <v>25</v>
      </c>
      <c r="C1" t="s">
        <v>26</v>
      </c>
      <c r="D1" t="s">
        <v>146</v>
      </c>
      <c r="E1" t="s">
        <v>28</v>
      </c>
      <c r="F1" t="s">
        <v>29</v>
      </c>
      <c r="G1" t="s">
        <v>52</v>
      </c>
      <c r="H1" t="s">
        <v>57</v>
      </c>
      <c r="I1" t="s">
        <v>56</v>
      </c>
      <c r="J1" t="s">
        <v>3</v>
      </c>
      <c r="K1" t="s">
        <v>2</v>
      </c>
      <c r="L1" s="6" t="s">
        <v>27</v>
      </c>
      <c r="M1" s="6" t="s">
        <v>81</v>
      </c>
      <c r="N1" s="6" t="s">
        <v>62</v>
      </c>
    </row>
    <row r="2" spans="1:14" ht="48.5" customHeight="1">
      <c r="A2" s="1" t="s">
        <v>193</v>
      </c>
      <c r="B2" s="1" t="s">
        <v>290</v>
      </c>
      <c r="C2" s="1" t="s">
        <v>192</v>
      </c>
      <c r="D2" t="s">
        <v>188</v>
      </c>
      <c r="L2" s="1" t="s">
        <v>194</v>
      </c>
    </row>
    <row r="3" spans="1:14" ht="42" customHeight="1">
      <c r="A3" s="1" t="s">
        <v>289</v>
      </c>
      <c r="B3" s="1" t="s">
        <v>291</v>
      </c>
      <c r="C3" s="1" t="s">
        <v>292</v>
      </c>
      <c r="D3" s="1" t="s">
        <v>293</v>
      </c>
      <c r="L3" s="1" t="s">
        <v>298</v>
      </c>
    </row>
    <row r="4" spans="1:14" ht="52">
      <c r="A4" s="1" t="s">
        <v>299</v>
      </c>
      <c r="B4" s="1" t="s">
        <v>344</v>
      </c>
      <c r="C4" s="1" t="s">
        <v>292</v>
      </c>
      <c r="D4" s="1" t="s">
        <v>293</v>
      </c>
      <c r="L4" s="1" t="s">
        <v>300</v>
      </c>
    </row>
  </sheetData>
  <phoneticPr fontId="1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C1A4-04CF-B245-9DBA-6B8E9C974C07}">
  <dimension ref="A1:J2"/>
  <sheetViews>
    <sheetView topLeftCell="A2" workbookViewId="0">
      <selection activeCell="B2" sqref="B2"/>
    </sheetView>
  </sheetViews>
  <sheetFormatPr defaultColWidth="10.90625" defaultRowHeight="13"/>
  <cols>
    <col min="1" max="1" width="15.453125" customWidth="1"/>
    <col min="2" max="2" width="15" customWidth="1"/>
    <col min="3" max="3" width="23.453125" customWidth="1"/>
    <col min="5" max="5" width="12.6328125" customWidth="1"/>
  </cols>
  <sheetData>
    <row r="1" spans="1:10">
      <c r="A1" t="s">
        <v>36</v>
      </c>
      <c r="B1" t="s">
        <v>37</v>
      </c>
      <c r="C1" t="s">
        <v>38</v>
      </c>
      <c r="D1" t="s">
        <v>39</v>
      </c>
      <c r="E1" t="s">
        <v>41</v>
      </c>
      <c r="F1" t="s">
        <v>109</v>
      </c>
      <c r="G1" t="s">
        <v>32</v>
      </c>
      <c r="H1" t="s">
        <v>40</v>
      </c>
      <c r="I1" t="s">
        <v>42</v>
      </c>
      <c r="J1" t="s">
        <v>62</v>
      </c>
    </row>
    <row r="2" spans="1:10" ht="116" customHeight="1">
      <c r="A2" t="s">
        <v>188</v>
      </c>
      <c r="B2" s="1" t="s">
        <v>191</v>
      </c>
      <c r="C2" s="1" t="s">
        <v>190</v>
      </c>
      <c r="D2" s="1" t="s">
        <v>187</v>
      </c>
      <c r="E2" s="1"/>
      <c r="F2" s="1" t="s">
        <v>186</v>
      </c>
      <c r="G2" s="1">
        <v>2018</v>
      </c>
      <c r="H2" s="1"/>
      <c r="I2" s="25" t="s">
        <v>189</v>
      </c>
      <c r="J2" s="1"/>
    </row>
  </sheetData>
  <phoneticPr fontId="12"/>
  <hyperlinks>
    <hyperlink ref="I2" r:id="rId1" xr:uid="{AD4BF826-10C8-4733-AFE4-840766DE3CC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78BC2-F208-4520-ADDF-DB963B700B5C}">
  <dimension ref="A1:G6"/>
  <sheetViews>
    <sheetView topLeftCell="B3" zoomScale="70" zoomScaleNormal="70" workbookViewId="0">
      <selection activeCell="F5" sqref="F5"/>
    </sheetView>
  </sheetViews>
  <sheetFormatPr defaultColWidth="8.81640625" defaultRowHeight="13"/>
  <cols>
    <col min="1" max="1" width="15.36328125" customWidth="1"/>
    <col min="2" max="2" width="36.81640625" customWidth="1"/>
    <col min="3" max="3" width="16.453125" customWidth="1"/>
    <col min="4" max="4" width="25.36328125" customWidth="1"/>
    <col min="5" max="5" width="18.81640625" customWidth="1"/>
    <col min="6" max="6" width="20.453125" customWidth="1"/>
    <col min="7" max="7" width="21.81640625" customWidth="1"/>
  </cols>
  <sheetData>
    <row r="1" spans="1:7">
      <c r="A1" s="3" t="s">
        <v>145</v>
      </c>
      <c r="B1" s="3" t="s">
        <v>121</v>
      </c>
      <c r="C1" s="3" t="s">
        <v>36</v>
      </c>
      <c r="D1" s="3" t="s">
        <v>348</v>
      </c>
      <c r="E1" s="3" t="s">
        <v>349</v>
      </c>
      <c r="F1" s="3" t="s">
        <v>65</v>
      </c>
      <c r="G1" s="3" t="s">
        <v>62</v>
      </c>
    </row>
    <row r="2" spans="1:7" ht="117">
      <c r="A2" s="1" t="s">
        <v>347</v>
      </c>
      <c r="B2" t="s">
        <v>278</v>
      </c>
      <c r="C2" t="s">
        <v>188</v>
      </c>
      <c r="F2" s="1" t="s">
        <v>279</v>
      </c>
    </row>
    <row r="3" spans="1:7" ht="65">
      <c r="A3" s="1" t="s">
        <v>347</v>
      </c>
      <c r="B3" t="s">
        <v>280</v>
      </c>
      <c r="C3" t="s">
        <v>188</v>
      </c>
      <c r="F3" s="1" t="s">
        <v>281</v>
      </c>
    </row>
    <row r="4" spans="1:7" ht="182">
      <c r="A4" s="1" t="s">
        <v>347</v>
      </c>
      <c r="B4" t="s">
        <v>282</v>
      </c>
      <c r="C4" t="s">
        <v>188</v>
      </c>
      <c r="D4">
        <v>6</v>
      </c>
      <c r="E4">
        <v>2.1</v>
      </c>
      <c r="F4" s="1" t="s">
        <v>285</v>
      </c>
      <c r="G4" s="1" t="s">
        <v>362</v>
      </c>
    </row>
    <row r="5" spans="1:7" ht="221">
      <c r="A5" s="1" t="s">
        <v>347</v>
      </c>
      <c r="B5" t="s">
        <v>283</v>
      </c>
      <c r="C5" t="s">
        <v>188</v>
      </c>
      <c r="D5">
        <v>9</v>
      </c>
      <c r="E5">
        <v>2.2999999999999998</v>
      </c>
      <c r="F5" s="1" t="s">
        <v>286</v>
      </c>
      <c r="G5" s="1" t="s">
        <v>363</v>
      </c>
    </row>
    <row r="6" spans="1:7" ht="65">
      <c r="A6" s="1" t="s">
        <v>347</v>
      </c>
      <c r="B6" t="s">
        <v>284</v>
      </c>
      <c r="C6" t="s">
        <v>188</v>
      </c>
      <c r="F6" s="1" t="s">
        <v>287</v>
      </c>
    </row>
  </sheetData>
  <phoneticPr fontId="1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units</vt:lpstr>
      <vt:lpstr>columns</vt:lpstr>
      <vt:lpstr>refs</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Soma Sasaki</cp:lastModifiedBy>
  <dcterms:created xsi:type="dcterms:W3CDTF">2024-12-03T18:21:58Z</dcterms:created>
  <dcterms:modified xsi:type="dcterms:W3CDTF">2026-08-06T20:27:17Z</dcterms:modified>
</cp:coreProperties>
</file>