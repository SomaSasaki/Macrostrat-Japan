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'units_review'!$A$1:$AC$135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m200k_NI-52-12_u002</t>
        </is>
      </c>
      <c r="B2" s="6" t="inlineStr">
        <is>
          <t>col_1</t>
        </is>
      </c>
      <c r="C2" s="6" t="n">
        <v>1</v>
      </c>
      <c r="D2" s="7" t="inlineStr">
        <is>
          <t>Pleistocene Sedimentary (Yatsushiro-Nomozaki Quaternary)</t>
        </is>
      </c>
      <c r="E2" s="5" t="inlineStr">
        <is>
          <t>Yatsushiro-Nomozaki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Cenozoic Quaternary Pleistocene Gelasian - early Middle Pleistocene; non-marine sediments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Q1-21_sn</t>
        </is>
      </c>
      <c r="U2" s="5" t="inlineStr"/>
      <c r="V2" s="10" t="inlineStr">
        <is>
          <t>Q1-21_sn</t>
        </is>
      </c>
      <c r="W2" s="10" t="inlineStr">
        <is>
          <t>新生代 第四紀 更新世 ジェラシアン期〜前期チバニアン期</t>
        </is>
      </c>
      <c r="X2" s="10" t="inlineStr">
        <is>
          <t>Cenozoic Quaternary Pleistocene Gelasian - early Middle Pleistocene</t>
        </is>
      </c>
      <c r="Y2" s="10" t="inlineStr">
        <is>
          <t>非海成層</t>
        </is>
      </c>
      <c r="Z2" s="10" t="inlineStr">
        <is>
          <t>non-marine sediments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m200k_NI-52-12_u003</t>
        </is>
      </c>
      <c r="B3" s="6" t="inlineStr">
        <is>
          <t>col_1</t>
        </is>
      </c>
      <c r="C3" s="6" t="n">
        <v>2</v>
      </c>
      <c r="D3" s="7" t="inlineStr">
        <is>
          <t>Pleistocene Gravel (Yatsushiro-Nomozaki Quaternary)</t>
        </is>
      </c>
      <c r="E3" s="5" t="inlineStr">
        <is>
          <t>Yatsushiro-Nomozaki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m200k_NI-52-12_u005</t>
        </is>
      </c>
      <c r="B4" s="6" t="inlineStr">
        <is>
          <t>col_1</t>
        </is>
      </c>
      <c r="C4" s="6" t="n">
        <v>3</v>
      </c>
      <c r="D4" s="7" t="inlineStr">
        <is>
          <t>Pleistocene Volcanic (Yatsushiro-Nomozaki Quaternary)</t>
        </is>
      </c>
      <c r="E4" s="5" t="inlineStr">
        <is>
          <t>Yatsushiro-Nomozaki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volcanic</t>
        </is>
      </c>
      <c r="M4" s="5" t="inlineStr"/>
      <c r="N4" s="5" t="inlineStr">
        <is>
          <t>volcanic</t>
        </is>
      </c>
      <c r="O4" s="5" t="inlineStr">
        <is>
          <t>Cenozoic Quaternary Middle Pleistocene; volcanic rocks debris avalanche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Q2_v_ad</t>
        </is>
      </c>
      <c r="U4" s="5" t="inlineStr"/>
      <c r="V4" s="10" t="inlineStr">
        <is>
          <t>Q2_v_ad</t>
        </is>
      </c>
      <c r="W4" s="10" t="inlineStr">
        <is>
          <t>新生代 第四紀 チバニアン期</t>
        </is>
      </c>
      <c r="X4" s="10" t="inlineStr">
        <is>
          <t>Cenozoic Quaternary Middle Pleistocene</t>
        </is>
      </c>
      <c r="Y4" s="10" t="inlineStr">
        <is>
          <t>火山岩 岩屑なだれ堆積物</t>
        </is>
      </c>
      <c r="Z4" s="10" t="inlineStr">
        <is>
          <t>volcanic rocks debris avalanche deposits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Basin &amp; Terrace Deposits</t>
        </is>
      </c>
    </row>
    <row r="5">
      <c r="A5" s="5" t="inlineStr">
        <is>
          <t>m200k_NI-52-12_u008</t>
        </is>
      </c>
      <c r="B5" s="6" t="inlineStr">
        <is>
          <t>col_1</t>
        </is>
      </c>
      <c r="C5" s="6" t="n">
        <v>4</v>
      </c>
      <c r="D5" s="7" t="inlineStr">
        <is>
          <t>Pleistocene Volcanic (Yatsushiro-Nomozaki Quaternary)</t>
        </is>
      </c>
      <c r="E5" s="5" t="inlineStr">
        <is>
          <t>Yatsushiro-Nomozaki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volcanic</t>
        </is>
      </c>
      <c r="M5" s="5" t="inlineStr"/>
      <c r="N5" s="5" t="inlineStr">
        <is>
          <t>volcanic</t>
        </is>
      </c>
      <c r="O5" s="5" t="inlineStr">
        <is>
          <t>Cenozoic Quaternary Late Pleistocene; volcanic rocks debris avalanche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Q3_v_ad</t>
        </is>
      </c>
      <c r="U5" s="5" t="inlineStr"/>
      <c r="V5" s="10" t="inlineStr">
        <is>
          <t>Q3_v_ad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火山岩 岩屑なだれ堆積物</t>
        </is>
      </c>
      <c r="Z5" s="10" t="inlineStr">
        <is>
          <t>volcanic rocks debris avalanche deposits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Basin &amp; Terrace Deposits</t>
        </is>
      </c>
    </row>
    <row r="6">
      <c r="A6" s="5" t="inlineStr">
        <is>
          <t>m200k_NI-52-12_u009</t>
        </is>
      </c>
      <c r="B6" s="6" t="inlineStr">
        <is>
          <t>col_1</t>
        </is>
      </c>
      <c r="C6" s="6" t="n">
        <v>5</v>
      </c>
      <c r="D6" s="7" t="inlineStr">
        <is>
          <t>Pleistocene Sedimentary (Yatsushiro-Nomozaki Quaternary)</t>
        </is>
      </c>
      <c r="E6" s="5" t="inlineStr">
        <is>
          <t>Yatsushiro-Nomozaki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m200k_NI-52-12_u012</t>
        </is>
      </c>
      <c r="B7" s="6" t="inlineStr">
        <is>
          <t>col_1</t>
        </is>
      </c>
      <c r="C7" s="6" t="n">
        <v>6</v>
      </c>
      <c r="D7" s="7" t="inlineStr">
        <is>
          <t>Pleistocene Gravel (Yatsushiro-Nomozaki Quaternary)</t>
        </is>
      </c>
      <c r="E7" s="5" t="inlineStr">
        <is>
          <t>Yatsushiro-Nomozaki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early Late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Q31_std</t>
        </is>
      </c>
      <c r="U7" s="5" t="inlineStr"/>
      <c r="V7" s="10" t="inlineStr">
        <is>
          <t>Q31_std</t>
        </is>
      </c>
      <c r="W7" s="10" t="inlineStr">
        <is>
          <t>新生代 第四紀 後期更新世前期</t>
        </is>
      </c>
      <c r="X7" s="10" t="inlineStr">
        <is>
          <t>Cenozoic Quaternary early Late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m200k_NI-52-12_u013</t>
        </is>
      </c>
      <c r="B8" s="6" t="inlineStr">
        <is>
          <t>col_1</t>
        </is>
      </c>
      <c r="C8" s="6" t="n">
        <v>7</v>
      </c>
      <c r="D8" s="7" t="inlineStr">
        <is>
          <t>Pleistocene Gravel (Yatsushiro-Nomozaki Quaternary)</t>
        </is>
      </c>
      <c r="E8" s="5" t="inlineStr">
        <is>
          <t>Yatsushiro-Nomozaki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gravel</t>
        </is>
      </c>
      <c r="M8" s="5" t="inlineStr"/>
      <c r="N8" s="5" t="inlineStr">
        <is>
          <t>unknown</t>
        </is>
      </c>
      <c r="O8" s="5" t="inlineStr">
        <is>
          <t>Cenozoic Quaternary late Middle Pleistocene; terrace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Q22_std</t>
        </is>
      </c>
      <c r="U8" s="5" t="inlineStr"/>
      <c r="V8" s="10" t="inlineStr">
        <is>
          <t>Q22_std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段丘堆積物</t>
        </is>
      </c>
      <c r="Z8" s="10" t="inlineStr">
        <is>
          <t>terrace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m200k_NI-52-12_u014</t>
        </is>
      </c>
      <c r="B9" s="6" t="inlineStr">
        <is>
          <t>col_1</t>
        </is>
      </c>
      <c r="C9" s="6" t="n">
        <v>8</v>
      </c>
      <c r="D9" s="7" t="inlineStr">
        <is>
          <t>Pleistocene Sedimentary (Yatsushiro-Nomozaki Quaternary)</t>
        </is>
      </c>
      <c r="E9" s="5" t="inlineStr">
        <is>
          <t>Yatsushiro-Nomozaki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Quaternary late Middle Pleistocene; brackish sediments or marine &amp; non-marine sediments mixture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Q22_sb</t>
        </is>
      </c>
      <c r="U9" s="5" t="inlineStr"/>
      <c r="V9" s="10" t="inlineStr">
        <is>
          <t>Q22_sb</t>
        </is>
      </c>
      <c r="W9" s="10" t="inlineStr">
        <is>
          <t>新生代 第四紀 後期チバニアン期</t>
        </is>
      </c>
      <c r="X9" s="10" t="inlineStr">
        <is>
          <t>Cenozoic Quaternary late Middle Pleistocene</t>
        </is>
      </c>
      <c r="Y9" s="10" t="inlineStr">
        <is>
          <t>汽水成層ないし海成・非海成混合層</t>
        </is>
      </c>
      <c r="Z9" s="10" t="inlineStr">
        <is>
          <t>brackish sediments or marine &amp; non-marine sediments mixture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m200k_NI-52-12_u017</t>
        </is>
      </c>
      <c r="B10" s="6" t="inlineStr">
        <is>
          <t>col_1</t>
        </is>
      </c>
      <c r="C10" s="6" t="n">
        <v>9</v>
      </c>
      <c r="D10" s="7" t="inlineStr">
        <is>
          <t>Pleistocene Sedimentary (Yatsushiro-Nomozaki Quaternary)</t>
        </is>
      </c>
      <c r="E10" s="5" t="inlineStr">
        <is>
          <t>Yatsushiro-Nomozaki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Cenozoic Quaternary Late Pleistocene; non-marine sediments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Q3_sn</t>
        </is>
      </c>
      <c r="U10" s="5" t="inlineStr"/>
      <c r="V10" s="10" t="inlineStr">
        <is>
          <t>Q3_sn</t>
        </is>
      </c>
      <c r="W10" s="10" t="inlineStr">
        <is>
          <t>新生代 第四紀 後期更新世</t>
        </is>
      </c>
      <c r="X10" s="10" t="inlineStr">
        <is>
          <t>Cenozoic Quaternary Late Pleistocene</t>
        </is>
      </c>
      <c r="Y10" s="10" t="inlineStr">
        <is>
          <t>非海成層</t>
        </is>
      </c>
      <c r="Z10" s="10" t="inlineStr">
        <is>
          <t>non-marine sediments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m200k_NI-52-12_u004</t>
        </is>
      </c>
      <c r="B11" s="6" t="inlineStr">
        <is>
          <t>col_1</t>
        </is>
      </c>
      <c r="C11" s="6" t="n">
        <v>10</v>
      </c>
      <c r="D11" s="7" t="inlineStr">
        <is>
          <t>Holocene Volcanic (Yatsushiro-Nomozaki Quaternary)</t>
        </is>
      </c>
      <c r="E11" s="5" t="inlineStr">
        <is>
          <t>Yatsushiro-Nomozaki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Gelasian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/>
      <c r="N11" s="5" t="inlineStr">
        <is>
          <t>alluvial fan</t>
        </is>
      </c>
      <c r="O11" s="5" t="inlineStr">
        <is>
          <t>Cenozoic Quaternary Pleistocene Gelasian - Holocene; volcanic rocks volcanic fan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Q1-H_v_af</t>
        </is>
      </c>
      <c r="U11" s="5" t="inlineStr"/>
      <c r="V11" s="10" t="inlineStr">
        <is>
          <t>Q1-H_v_af</t>
        </is>
      </c>
      <c r="W11" s="10" t="inlineStr">
        <is>
          <t>新生代 第四紀 更新世 ジェラシアン期〜完新世</t>
        </is>
      </c>
      <c r="X11" s="10" t="inlineStr">
        <is>
          <t>Cenozoic Quaternary Pleistocene Gelasian - Holocene</t>
        </is>
      </c>
      <c r="Y11" s="10" t="inlineStr">
        <is>
          <t>火山岩 火山麓扇状地堆積物</t>
        </is>
      </c>
      <c r="Z11" s="10" t="inlineStr">
        <is>
          <t>volcanic rocks volcanic fan deposits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Basin &amp; Terrace Deposits</t>
        </is>
      </c>
    </row>
    <row r="12">
      <c r="A12" s="5" t="inlineStr">
        <is>
          <t>m200k_NI-52-12_u015</t>
        </is>
      </c>
      <c r="B12" s="6" t="inlineStr">
        <is>
          <t>col_1</t>
        </is>
      </c>
      <c r="C12" s="6" t="n">
        <v>11</v>
      </c>
      <c r="D12" s="7" t="inlineStr">
        <is>
          <t>Holocene Sedimentary (Yatsushiro-Nomozaki Quaternary)</t>
        </is>
      </c>
      <c r="E12" s="5" t="inlineStr">
        <is>
          <t>Yatsushiro-Nomozaki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late Middle Pleistocene - Holocene; landslide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Q22-H_sdd</t>
        </is>
      </c>
      <c r="U12" s="5" t="inlineStr"/>
      <c r="V12" s="10" t="inlineStr">
        <is>
          <t>Q22-H_sdd</t>
        </is>
      </c>
      <c r="W12" s="10" t="inlineStr">
        <is>
          <t>新生代 第四紀 後期チバニアン期〜完新世</t>
        </is>
      </c>
      <c r="X12" s="10" t="inlineStr">
        <is>
          <t>Cenozoic Quaternary late Middle Pleistocene - Holocene</t>
        </is>
      </c>
      <c r="Y12" s="10" t="inlineStr">
        <is>
          <t>地すべり堆積物</t>
        </is>
      </c>
      <c r="Z12" s="10" t="inlineStr">
        <is>
          <t>landslide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m200k_NI-52-12_u016</t>
        </is>
      </c>
      <c r="B13" s="6" t="inlineStr">
        <is>
          <t>col_1</t>
        </is>
      </c>
      <c r="C13" s="6" t="n">
        <v>12</v>
      </c>
      <c r="D13" s="7" t="inlineStr">
        <is>
          <t>Holocene Sedimentary (Yatsushiro-Nomozaki Quaternary)</t>
        </is>
      </c>
      <c r="E13" s="5" t="inlineStr">
        <is>
          <t>Yatsushiro-Nomozaki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alluvial fan</t>
        </is>
      </c>
      <c r="O13" s="5" t="inlineStr">
        <is>
          <t>Cenozoic Quaternary late Late Pleistocene - Holocene; fan or talus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Q33-H_sfd</t>
        </is>
      </c>
      <c r="U13" s="5" t="inlineStr"/>
      <c r="V13" s="10" t="inlineStr">
        <is>
          <t>Q33-H_sfd</t>
        </is>
      </c>
      <c r="W13" s="10" t="inlineStr">
        <is>
          <t>新生代 第四紀 後期更新世後期〜完新世</t>
        </is>
      </c>
      <c r="X13" s="10" t="inlineStr">
        <is>
          <t>Cenozoic Quaternary late Late Pleistocene - Holocene</t>
        </is>
      </c>
      <c r="Y13" s="10" t="inlineStr">
        <is>
          <t>扇状地・崖錐堆積物</t>
        </is>
      </c>
      <c r="Z13" s="10" t="inlineStr">
        <is>
          <t>fan or talus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m200k_NI-52-12_u001</t>
        </is>
      </c>
      <c r="B14" s="6" t="inlineStr">
        <is>
          <t>col_1</t>
        </is>
      </c>
      <c r="C14" s="6" t="n">
        <v>13</v>
      </c>
      <c r="D14" s="7" t="inlineStr">
        <is>
          <t>Holocene Sedimentary (Yatsushiro-Nomozaki Quaternary)</t>
        </is>
      </c>
      <c r="E14" s="5" t="inlineStr">
        <is>
          <t>Yatsushiro-Nomozaki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fluvial</t>
        </is>
      </c>
      <c r="O14" s="5" t="inlineStr">
        <is>
          <t>Cenozoic Quaternary Holocene; valley floor, intermountain basin, river &amp;  coastal plain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H_sad</t>
        </is>
      </c>
      <c r="U14" s="5" t="inlineStr"/>
      <c r="V14" s="10" t="inlineStr">
        <is>
          <t>H_sad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谷底平野・山間盆地・河川・海岸平野堆積物</t>
        </is>
      </c>
      <c r="Z14" s="10" t="inlineStr">
        <is>
          <t>valley floor, intermountain basin, river &amp;  coastal plain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m200k_NI-52-12_u006</t>
        </is>
      </c>
      <c r="B15" s="6" t="inlineStr">
        <is>
          <t>col_1</t>
        </is>
      </c>
      <c r="C15" s="6" t="n">
        <v>14</v>
      </c>
      <c r="D15" s="7" t="inlineStr">
        <is>
          <t>Holocene Sedimentary (Yatsushiro-Nomozaki Quaternary)</t>
        </is>
      </c>
      <c r="E15" s="5" t="inlineStr">
        <is>
          <t>Yatsushiro-Nomozaki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unknown</t>
        </is>
      </c>
      <c r="O15" s="5" t="inlineStr">
        <is>
          <t>Cenozoic Quaternary late Holocene; Reclaimed land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H2_or</t>
        </is>
      </c>
      <c r="U15" s="5" t="inlineStr"/>
      <c r="V15" s="10" t="inlineStr">
        <is>
          <t>H2_or</t>
        </is>
      </c>
      <c r="W15" s="10" t="inlineStr">
        <is>
          <t>新生代 第四紀 後期完新世</t>
        </is>
      </c>
      <c r="X15" s="10" t="inlineStr">
        <is>
          <t>Cenozoic Quaternary late Holocene</t>
        </is>
      </c>
      <c r="Y15" s="10" t="inlineStr">
        <is>
          <t>盛り土・埋立地・干拓地</t>
        </is>
      </c>
      <c r="Z15" s="10" t="inlineStr">
        <is>
          <t>Reclaimed land</t>
        </is>
      </c>
      <c r="AA15" s="10" t="inlineStr">
        <is>
          <t>その他</t>
        </is>
      </c>
      <c r="AB15" s="10" t="inlineStr">
        <is>
          <t>Other</t>
        </is>
      </c>
      <c r="AC15" s="10" t="inlineStr">
        <is>
          <t>Quaternary Basin &amp; Terrace Deposits</t>
        </is>
      </c>
    </row>
    <row r="16">
      <c r="A16" s="5" t="inlineStr">
        <is>
          <t>m200k_NI-52-12_u007</t>
        </is>
      </c>
      <c r="B16" s="6" t="inlineStr">
        <is>
          <t>col_1</t>
        </is>
      </c>
      <c r="C16" s="6" t="n">
        <v>15</v>
      </c>
      <c r="D16" s="7" t="inlineStr">
        <is>
          <t>Holocene Volcanic (Yatsushiro-Nomozaki Quaternary)</t>
        </is>
      </c>
      <c r="E16" s="5" t="inlineStr">
        <is>
          <t>Yatsushiro-Nomozaki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volcanic</t>
        </is>
      </c>
      <c r="M16" s="5" t="inlineStr"/>
      <c r="N16" s="5" t="inlineStr">
        <is>
          <t>volcanic</t>
        </is>
      </c>
      <c r="O16" s="5" t="inlineStr">
        <is>
          <t>Cenozoic Quaternary Holocene; volcanic rocks debris avalanche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H_v_ad</t>
        </is>
      </c>
      <c r="U16" s="5" t="inlineStr"/>
      <c r="V16" s="10" t="inlineStr">
        <is>
          <t>H_v_ad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火山岩 岩屑なだれ堆積物</t>
        </is>
      </c>
      <c r="Z16" s="10" t="inlineStr">
        <is>
          <t>volcanic rocks debris avalanche deposits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Basin &amp; Terrace Deposits</t>
        </is>
      </c>
    </row>
    <row r="17">
      <c r="A17" s="5" t="inlineStr">
        <is>
          <t>m200k_NI-52-12_u010</t>
        </is>
      </c>
      <c r="B17" s="6" t="inlineStr">
        <is>
          <t>col_1</t>
        </is>
      </c>
      <c r="C17" s="6" t="n">
        <v>16</v>
      </c>
      <c r="D17" s="7" t="inlineStr">
        <is>
          <t>Holocene Sedimentary (Yatsushiro-Nomozaki Quaternary)</t>
        </is>
      </c>
      <c r="E17" s="5" t="inlineStr">
        <is>
          <t>Yatsushiro-Nomozaki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coastal</t>
        </is>
      </c>
      <c r="O17" s="5" t="inlineStr">
        <is>
          <t>Cenozoic Quaternary Holocene; coastal or dune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H_ssd</t>
        </is>
      </c>
      <c r="U17" s="5" t="inlineStr"/>
      <c r="V17" s="10" t="inlineStr">
        <is>
          <t>H_ssd</t>
        </is>
      </c>
      <c r="W17" s="10" t="inlineStr">
        <is>
          <t>新生代 第四紀 完新世</t>
        </is>
      </c>
      <c r="X17" s="10" t="inlineStr">
        <is>
          <t>Cenozoic Quaternary Holocene</t>
        </is>
      </c>
      <c r="Y17" s="10" t="inlineStr">
        <is>
          <t>海岸・砂丘堆積物</t>
        </is>
      </c>
      <c r="Z17" s="10" t="inlineStr">
        <is>
          <t>coastal or dune deposits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Quaternary Basin &amp; Terrace Deposits</t>
        </is>
      </c>
    </row>
    <row r="18">
      <c r="A18" s="5" t="inlineStr">
        <is>
          <t>m200k_NI-52-12_u011</t>
        </is>
      </c>
      <c r="B18" s="6" t="inlineStr">
        <is>
          <t>col_1</t>
        </is>
      </c>
      <c r="C18" s="6" t="n">
        <v>17</v>
      </c>
      <c r="D18" s="7" t="inlineStr">
        <is>
          <t>Holocene Sedimentary (Yatsushiro-Nomozaki Quaternary)</t>
        </is>
      </c>
      <c r="E18" s="5" t="inlineStr">
        <is>
          <t>Yatsushiro-Nomozaki Quaternary Basin &amp; Terrace Deposits</t>
        </is>
      </c>
      <c r="F18" s="6" t="inlineStr">
        <is>
          <t>Holocene</t>
        </is>
      </c>
      <c r="G18" s="8" t="n">
        <v>0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Holocene</t>
        </is>
      </c>
      <c r="J18" s="8" t="n">
        <v>0.0117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sedimentary</t>
        </is>
      </c>
      <c r="M18" s="5" t="inlineStr"/>
      <c r="N18" s="5" t="inlineStr">
        <is>
          <t>unknown</t>
        </is>
      </c>
      <c r="O18" s="5" t="inlineStr">
        <is>
          <t>Cenozoic Quaternary Holocene; natural levee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H_svd</t>
        </is>
      </c>
      <c r="U18" s="5" t="inlineStr"/>
      <c r="V18" s="10" t="inlineStr">
        <is>
          <t>H_svd</t>
        </is>
      </c>
      <c r="W18" s="10" t="inlineStr">
        <is>
          <t>新生代 第四紀 完新世</t>
        </is>
      </c>
      <c r="X18" s="10" t="inlineStr">
        <is>
          <t>Cenozoic Quaternary Holocene</t>
        </is>
      </c>
      <c r="Y18" s="10" t="inlineStr">
        <is>
          <t>自然堤防堆積物</t>
        </is>
      </c>
      <c r="Z18" s="10" t="inlineStr">
        <is>
          <t>natural levee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m200k_NI-52-12_u019</t>
        </is>
      </c>
      <c r="B19" s="6" t="inlineStr">
        <is>
          <t>col_2</t>
        </is>
      </c>
      <c r="C19" s="6" t="n">
        <v>1</v>
      </c>
      <c r="D19" s="7" t="inlineStr">
        <is>
          <t>Gelasian Andesite (Yatsushiro-Nomozaki Quaternary)</t>
        </is>
      </c>
      <c r="E19" s="5" t="inlineStr">
        <is>
          <t>Yatsushiro-Nomozaki Quaternary Volcanic Arc</t>
        </is>
      </c>
      <c r="F19" s="6" t="inlineStr">
        <is>
          <t>Gelasian</t>
        </is>
      </c>
      <c r="G19" s="8" t="n">
        <v>1.8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Gelasian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Quaternary Pleistocene Gelasian; andesite &amp; basaltic andesite lava &amp; pyroclastic rocks [Quaternary Volcanic Arc]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Q11_vis_al</t>
        </is>
      </c>
      <c r="U19" s="5" t="inlineStr"/>
      <c r="V19" s="10" t="inlineStr">
        <is>
          <t>Q11_vis_al</t>
        </is>
      </c>
      <c r="W19" s="10" t="inlineStr">
        <is>
          <t>新生代 第四紀 更新世 ジェラシアン期</t>
        </is>
      </c>
      <c r="X19" s="10" t="inlineStr">
        <is>
          <t>Cenozoic Quaternary Pleistocene Gelasian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Quaternary Volcanic Arc</t>
        </is>
      </c>
    </row>
    <row r="20">
      <c r="A20" s="5" t="inlineStr">
        <is>
          <t>m200k_NI-52-12_u022</t>
        </is>
      </c>
      <c r="B20" s="6" t="inlineStr">
        <is>
          <t>col_2</t>
        </is>
      </c>
      <c r="C20" s="6" t="n">
        <v>2</v>
      </c>
      <c r="D20" s="7" t="inlineStr">
        <is>
          <t>Pleistocene Dacite (Yatsushiro-Nomozaki Quaternary)</t>
        </is>
      </c>
      <c r="E20" s="5" t="inlineStr">
        <is>
          <t>Yatsushiro-Nomozaki Quaternary Volcanic Arc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Quaternary early Late Pleistocene; dacite &amp; rhyolite pyroclastic rocks [Quaternary Volcanic Arc]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Q31_vas_ap</t>
        </is>
      </c>
      <c r="U20" s="5" t="inlineStr"/>
      <c r="V20" s="10" t="inlineStr">
        <is>
          <t>Q31_vas_ap</t>
        </is>
      </c>
      <c r="W20" s="10" t="inlineStr">
        <is>
          <t>新生代 第四紀 後期更新世前期</t>
        </is>
      </c>
      <c r="X20" s="10" t="inlineStr">
        <is>
          <t>Cenozoic Quaternary early Late Pleistocene</t>
        </is>
      </c>
      <c r="Y20" s="10" t="inlineStr">
        <is>
          <t>デイサイト・流紋岩 大規模火砕流</t>
        </is>
      </c>
      <c r="Z20" s="10" t="inlineStr">
        <is>
          <t>dacite &amp; rhyolite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Quaternary Volcanic Arc</t>
        </is>
      </c>
    </row>
    <row r="21">
      <c r="A21" s="5" t="inlineStr">
        <is>
          <t>m200k_NI-52-12_u023</t>
        </is>
      </c>
      <c r="B21" s="6" t="inlineStr">
        <is>
          <t>col_2</t>
        </is>
      </c>
      <c r="C21" s="6" t="n">
        <v>3</v>
      </c>
      <c r="D21" s="7" t="inlineStr">
        <is>
          <t>Pleistocene Andesite (Yatsushiro-Nomozaki Quaternary)</t>
        </is>
      </c>
      <c r="E21" s="5" t="inlineStr">
        <is>
          <t>Yatsushiro-Nomozaki Quaternary Volcanic Arc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Cenozoic Quaternary Middle Pleistocene; andesite &amp; basaltic andesite lava &amp; pyroclastic rocks [Quaternary Volcanic Arc]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Q2_vis_al</t>
        </is>
      </c>
      <c r="U21" s="5" t="inlineStr"/>
      <c r="V21" s="10" t="inlineStr">
        <is>
          <t>Q2_vis_al</t>
        </is>
      </c>
      <c r="W21" s="10" t="inlineStr">
        <is>
          <t>新生代 第四紀 チバニアン期</t>
        </is>
      </c>
      <c r="X21" s="10" t="inlineStr">
        <is>
          <t>Cenozoic Quaternary Middle Pleistocene</t>
        </is>
      </c>
      <c r="Y21" s="10" t="inlineStr">
        <is>
          <t>安山岩・玄武岩質安山岩 溶岩・火砕岩</t>
        </is>
      </c>
      <c r="Z21" s="10" t="inlineStr">
        <is>
          <t>andesite &amp; basaltic andesite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Quaternary Volcanic Arc</t>
        </is>
      </c>
    </row>
    <row r="22">
      <c r="A22" s="5" t="inlineStr">
        <is>
          <t>m200k_NI-52-12_u024</t>
        </is>
      </c>
      <c r="B22" s="6" t="inlineStr">
        <is>
          <t>col_2</t>
        </is>
      </c>
      <c r="C22" s="6" t="n">
        <v>4</v>
      </c>
      <c r="D22" s="7" t="inlineStr">
        <is>
          <t>Pleistocene Dacite (Yatsushiro-Nomozaki Quaternary)</t>
        </is>
      </c>
      <c r="E22" s="5" t="inlineStr">
        <is>
          <t>Yatsushiro-Nomozaki Quaternary Volcanic Arc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Quaternary Middle Pleistocene; dacite &amp; rhyolite lava &amp;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Q2_vas_al</t>
        </is>
      </c>
      <c r="U22" s="5" t="inlineStr"/>
      <c r="V22" s="10" t="inlineStr">
        <is>
          <t>Q2_vas_al</t>
        </is>
      </c>
      <c r="W22" s="10" t="inlineStr">
        <is>
          <t>新生代 第四紀 チバニアン期</t>
        </is>
      </c>
      <c r="X22" s="10" t="inlineStr">
        <is>
          <t>Cenozoic Quaternary Middle Pleistocene</t>
        </is>
      </c>
      <c r="Y22" s="10" t="inlineStr">
        <is>
          <t>デイサイト・流紋岩 溶岩・火砕岩</t>
        </is>
      </c>
      <c r="Z22" s="10" t="inlineStr">
        <is>
          <t>dacite &amp; rhyolite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m200k_NI-52-12_u025</t>
        </is>
      </c>
      <c r="B23" s="6" t="inlineStr">
        <is>
          <t>col_2</t>
        </is>
      </c>
      <c r="C23" s="6" t="n">
        <v>5</v>
      </c>
      <c r="D23" s="7" t="inlineStr">
        <is>
          <t>Pleistocene Andesite (Yatsushiro-Nomozaki Quaternary)</t>
        </is>
      </c>
      <c r="E23" s="5" t="inlineStr">
        <is>
          <t>Yatsushiro-Nomozaki Quaternary Volcanic Arc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Late Pleistocene;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Q3_vis_al</t>
        </is>
      </c>
      <c r="U23" s="5" t="inlineStr"/>
      <c r="V23" s="10" t="inlineStr">
        <is>
          <t>Q3_vis_al</t>
        </is>
      </c>
      <c r="W23" s="10" t="inlineStr">
        <is>
          <t>新生代 第四紀 後期更新世</t>
        </is>
      </c>
      <c r="X23" s="10" t="inlineStr">
        <is>
          <t>Cenozoic Quaternary Late Pleistocene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m200k_NI-52-12_u027</t>
        </is>
      </c>
      <c r="B24" s="6" t="inlineStr">
        <is>
          <t>col_2</t>
        </is>
      </c>
      <c r="C24" s="6" t="n">
        <v>6</v>
      </c>
      <c r="D24" s="7" t="inlineStr">
        <is>
          <t>Pleistocene Dacite (Yatsushiro-Nomozaki Quaternary)</t>
        </is>
      </c>
      <c r="E24" s="5" t="inlineStr">
        <is>
          <t>Yatsushiro-Nomozaki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Quaternary Middle Pleistocene; dacite &amp; rhyolite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Q2_vas_ap</t>
        </is>
      </c>
      <c r="U24" s="5" t="inlineStr"/>
      <c r="V24" s="10" t="inlineStr">
        <is>
          <t>Q2_vas_ap</t>
        </is>
      </c>
      <c r="W24" s="10" t="inlineStr">
        <is>
          <t>新生代 第四紀 チバニアン期</t>
        </is>
      </c>
      <c r="X24" s="10" t="inlineStr">
        <is>
          <t>Cenozoic Quaternary Middle Pleistocene</t>
        </is>
      </c>
      <c r="Y24" s="10" t="inlineStr">
        <is>
          <t>デイサイト・流紋岩 大規模火砕流</t>
        </is>
      </c>
      <c r="Z24" s="10" t="inlineStr">
        <is>
          <t>dacite &amp; rhyolite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m200k_NI-52-12_u028</t>
        </is>
      </c>
      <c r="B25" s="6" t="inlineStr">
        <is>
          <t>col_2</t>
        </is>
      </c>
      <c r="C25" s="6" t="n">
        <v>7</v>
      </c>
      <c r="D25" s="7" t="inlineStr">
        <is>
          <t>Pleistocene Dacite (Yatsushiro-Nomozaki Quaternary)</t>
        </is>
      </c>
      <c r="E25" s="5" t="inlineStr">
        <is>
          <t>Yatsushiro-Nomozaki Quaternary Volcanic Arc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Quaternary middle Late Pleistocene; dacite &amp; rhyolite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Q32_vas_ap</t>
        </is>
      </c>
      <c r="U25" s="5" t="inlineStr"/>
      <c r="V25" s="10" t="inlineStr">
        <is>
          <t>Q32_vas_ap</t>
        </is>
      </c>
      <c r="W25" s="10" t="inlineStr">
        <is>
          <t>新生代 第四紀 後期更新世中期</t>
        </is>
      </c>
      <c r="X25" s="10" t="inlineStr">
        <is>
          <t>Cenozoic Quaternary middle Late Pleistocene</t>
        </is>
      </c>
      <c r="Y25" s="10" t="inlineStr">
        <is>
          <t>デイサイト・流紋岩 大規模火砕流</t>
        </is>
      </c>
      <c r="Z25" s="10" t="inlineStr">
        <is>
          <t>dacite &amp; rhyolite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m200k_NI-52-12_u029</t>
        </is>
      </c>
      <c r="B26" s="6" t="inlineStr">
        <is>
          <t>col_2</t>
        </is>
      </c>
      <c r="C26" s="6" t="n">
        <v>8</v>
      </c>
      <c r="D26" s="7" t="inlineStr">
        <is>
          <t>Pleistocene Andesite (Yatsushiro-Nomozaki Quaternary)</t>
        </is>
      </c>
      <c r="E26" s="5" t="inlineStr">
        <is>
          <t>Yatsushiro-Nomozaki Quaternary Volcanic Arc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Quaternary early Late Pleistocene; andesite &amp; basaltic andesite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Q31_vis_ap</t>
        </is>
      </c>
      <c r="U26" s="5" t="inlineStr"/>
      <c r="V26" s="10" t="inlineStr">
        <is>
          <t>Q31_vis_ap</t>
        </is>
      </c>
      <c r="W26" s="10" t="inlineStr">
        <is>
          <t>新生代 第四紀 後期更新世前期</t>
        </is>
      </c>
      <c r="X26" s="10" t="inlineStr">
        <is>
          <t>Cenozoic Quaternary early Late Pleistocene</t>
        </is>
      </c>
      <c r="Y26" s="10" t="inlineStr">
        <is>
          <t>安山岩・玄武岩質安山岩 大規模火砕流</t>
        </is>
      </c>
      <c r="Z26" s="10" t="inlineStr">
        <is>
          <t>andesite &amp; basaltic andesite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m200k_NI-52-12_u030</t>
        </is>
      </c>
      <c r="B27" s="6" t="inlineStr">
        <is>
          <t>col_2</t>
        </is>
      </c>
      <c r="C27" s="6" t="n">
        <v>9</v>
      </c>
      <c r="D27" s="7" t="inlineStr">
        <is>
          <t>Pleistocene Andesite (Yatsushiro-Nomozaki Quaternary)</t>
        </is>
      </c>
      <c r="E27" s="5" t="inlineStr">
        <is>
          <t>Yatsushiro-Nomozaki Quaternary Volcanic Arc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Quaternary Middle Pleistocene; andesite &amp; basaltic andesite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Q2_vis_ap</t>
        </is>
      </c>
      <c r="U27" s="5" t="inlineStr"/>
      <c r="V27" s="10" t="inlineStr">
        <is>
          <t>Q2_vis_ap</t>
        </is>
      </c>
      <c r="W27" s="10" t="inlineStr">
        <is>
          <t>新生代 第四紀 チバニアン期</t>
        </is>
      </c>
      <c r="X27" s="10" t="inlineStr">
        <is>
          <t>Cenozoic Quaternary Middle Pleistocene</t>
        </is>
      </c>
      <c r="Y27" s="10" t="inlineStr">
        <is>
          <t>安山岩・玄武岩質安山岩 大規模火砕流</t>
        </is>
      </c>
      <c r="Z27" s="10" t="inlineStr">
        <is>
          <t>andesite &amp; basaltic andesite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m200k_NI-52-12_u031</t>
        </is>
      </c>
      <c r="B28" s="6" t="inlineStr">
        <is>
          <t>col_2</t>
        </is>
      </c>
      <c r="C28" s="6" t="n">
        <v>10</v>
      </c>
      <c r="D28" s="7" t="inlineStr">
        <is>
          <t>Pleistocene Dacite (Yatsushiro-Nomozaki Quaternary)</t>
        </is>
      </c>
      <c r="E28" s="5" t="inlineStr">
        <is>
          <t>Yatsushiro-Nomozaki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Quaternary Late Pleistocene; dacite &amp; rhyolite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Q3_vas_al</t>
        </is>
      </c>
      <c r="U28" s="5" t="inlineStr"/>
      <c r="V28" s="10" t="inlineStr">
        <is>
          <t>Q3_vas_al</t>
        </is>
      </c>
      <c r="W28" s="10" t="inlineStr">
        <is>
          <t>新生代 第四紀 後期更新世</t>
        </is>
      </c>
      <c r="X28" s="10" t="inlineStr">
        <is>
          <t>Cenozoic Quaternary Late Pleistocene</t>
        </is>
      </c>
      <c r="Y28" s="10" t="inlineStr">
        <is>
          <t>デイサイト・流紋岩 溶岩・火砕岩</t>
        </is>
      </c>
      <c r="Z28" s="10" t="inlineStr">
        <is>
          <t>dacite &amp; rhyolite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m200k_NI-52-12_u034</t>
        </is>
      </c>
      <c r="B29" s="6" t="inlineStr">
        <is>
          <t>col_2</t>
        </is>
      </c>
      <c r="C29" s="6" t="n">
        <v>11</v>
      </c>
      <c r="D29" s="7" t="inlineStr">
        <is>
          <t>Pleistocene Basalt (Yatsushiro-Nomozaki Quaternary)</t>
        </is>
      </c>
      <c r="E29" s="5" t="inlineStr">
        <is>
          <t>Yatsushiro-Nomozaki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basalt</t>
        </is>
      </c>
      <c r="M29" s="5" t="inlineStr"/>
      <c r="N29" s="5" t="inlineStr">
        <is>
          <t>volcanic</t>
        </is>
      </c>
      <c r="O29" s="5" t="inlineStr">
        <is>
          <t>Cenozoic Quaternary Late Pleistocene; basalt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Q3_vbs_al</t>
        </is>
      </c>
      <c r="U29" s="5" t="inlineStr"/>
      <c r="V29" s="10" t="inlineStr">
        <is>
          <t>Q3_vbs_al</t>
        </is>
      </c>
      <c r="W29" s="10" t="inlineStr">
        <is>
          <t>新生代 第四紀 後期更新世</t>
        </is>
      </c>
      <c r="X29" s="10" t="inlineStr">
        <is>
          <t>Cenozoic Quaternary Late Pleistocene</t>
        </is>
      </c>
      <c r="Y29" s="10" t="inlineStr">
        <is>
          <t>玄武岩 溶岩・火砕岩</t>
        </is>
      </c>
      <c r="Z29" s="10" t="inlineStr">
        <is>
          <t>basalt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m200k_NI-52-12_u018</t>
        </is>
      </c>
      <c r="B30" s="6" t="inlineStr">
        <is>
          <t>col_2</t>
        </is>
      </c>
      <c r="C30" s="6" t="n">
        <v>12</v>
      </c>
      <c r="D30" s="7" t="inlineStr">
        <is>
          <t>Calabrian Dacite (Yatsushiro-Nomozaki Quaternary)</t>
        </is>
      </c>
      <c r="E30" s="5" t="inlineStr">
        <is>
          <t>Yatsushiro-Nomozaki Quaternary Volcanic Arc</t>
        </is>
      </c>
      <c r="F30" s="6" t="inlineStr">
        <is>
          <t>Calabrian</t>
        </is>
      </c>
      <c r="G30" s="8" t="n">
        <v>0.774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Calabrian</t>
        </is>
      </c>
      <c r="J30" s="8" t="n">
        <v>1.8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Cenozoic Quaternary Pleistocene Calabrian; dacite &amp; rhyolite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Q12_vas_ap</t>
        </is>
      </c>
      <c r="U30" s="5" t="inlineStr"/>
      <c r="V30" s="10" t="inlineStr">
        <is>
          <t>Q12_vas_ap</t>
        </is>
      </c>
      <c r="W30" s="10" t="inlineStr">
        <is>
          <t>新生代 第四紀 更新世 カラブリアン期</t>
        </is>
      </c>
      <c r="X30" s="10" t="inlineStr">
        <is>
          <t>Cenozoic Quaternary Pleistocene Calabrian</t>
        </is>
      </c>
      <c r="Y30" s="10" t="inlineStr">
        <is>
          <t>デイサイト・流紋岩 大規模火砕流</t>
        </is>
      </c>
      <c r="Z30" s="10" t="inlineStr">
        <is>
          <t>dacite &amp; rhyolite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m200k_NI-52-12_u020</t>
        </is>
      </c>
      <c r="B31" s="6" t="inlineStr">
        <is>
          <t>col_2</t>
        </is>
      </c>
      <c r="C31" s="6" t="n">
        <v>13</v>
      </c>
      <c r="D31" s="7" t="inlineStr">
        <is>
          <t>Calabrian Dacite (Yatsushiro-Nomozaki Quaternary)</t>
        </is>
      </c>
      <c r="E31" s="5" t="inlineStr">
        <is>
          <t>Yatsushiro-Nomozaki Quaternary Volcanic Arc</t>
        </is>
      </c>
      <c r="F31" s="6" t="inlineStr">
        <is>
          <t>Calabrian</t>
        </is>
      </c>
      <c r="G31" s="8" t="n">
        <v>0.774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Calabrian</t>
        </is>
      </c>
      <c r="J31" s="8" t="n">
        <v>1.8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Quaternary Pleistocene Calabrian; dacite &amp; rhyolite lava &amp;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Q12_vas_al</t>
        </is>
      </c>
      <c r="U31" s="5" t="inlineStr"/>
      <c r="V31" s="10" t="inlineStr">
        <is>
          <t>Q12_vas_al</t>
        </is>
      </c>
      <c r="W31" s="10" t="inlineStr">
        <is>
          <t>新生代 第四紀 更新世 カラブリアン期</t>
        </is>
      </c>
      <c r="X31" s="10" t="inlineStr">
        <is>
          <t>Cenozoic Quaternary Pleistocene Calabrian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m200k_NI-52-12_u021</t>
        </is>
      </c>
      <c r="B32" s="6" t="inlineStr">
        <is>
          <t>col_2</t>
        </is>
      </c>
      <c r="C32" s="6" t="n">
        <v>14</v>
      </c>
      <c r="D32" s="7" t="inlineStr">
        <is>
          <t>Calabrian Andesite (Yatsushiro-Nomozaki Quaternary)</t>
        </is>
      </c>
      <c r="E32" s="5" t="inlineStr">
        <is>
          <t>Yatsushiro-Nomozaki Quaternary Volcanic Arc</t>
        </is>
      </c>
      <c r="F32" s="6" t="inlineStr">
        <is>
          <t>Calabrian</t>
        </is>
      </c>
      <c r="G32" s="8" t="n">
        <v>0.774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Calabrian</t>
        </is>
      </c>
      <c r="J32" s="8" t="n">
        <v>1.8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Quaternary Pleistocene Calabrian; andesite &amp; basaltic andesite lava &amp;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Q12_vis_al</t>
        </is>
      </c>
      <c r="U32" s="5" t="inlineStr"/>
      <c r="V32" s="10" t="inlineStr">
        <is>
          <t>Q12_vis_al</t>
        </is>
      </c>
      <c r="W32" s="10" t="inlineStr">
        <is>
          <t>新生代 第四紀 更新世 カラブリアン期</t>
        </is>
      </c>
      <c r="X32" s="10" t="inlineStr">
        <is>
          <t>Cenozoic Quaternary Pleistocene Calabrian</t>
        </is>
      </c>
      <c r="Y32" s="10" t="inlineStr">
        <is>
          <t>安山岩・玄武岩質安山岩 溶岩・火砕岩</t>
        </is>
      </c>
      <c r="Z32" s="10" t="inlineStr">
        <is>
          <t>andesite &amp; basaltic andesite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m200k_NI-52-12_u026</t>
        </is>
      </c>
      <c r="B33" s="6" t="inlineStr">
        <is>
          <t>col_2</t>
        </is>
      </c>
      <c r="C33" s="6" t="n">
        <v>15</v>
      </c>
      <c r="D33" s="7" t="inlineStr">
        <is>
          <t>Holocene Andesite (Yatsushiro-Nomozaki Quaternary)</t>
        </is>
      </c>
      <c r="E33" s="5" t="inlineStr">
        <is>
          <t>Yatsushiro-Nomozaki Quaternary Volcanic Arc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Quaternary Holocene; andesite &amp; basaltic andesite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H_vis_al</t>
        </is>
      </c>
      <c r="U33" s="5" t="inlineStr"/>
      <c r="V33" s="10" t="inlineStr">
        <is>
          <t>H_vis_al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m200k_NI-52-12_u032</t>
        </is>
      </c>
      <c r="B34" s="6" t="inlineStr">
        <is>
          <t>col_2</t>
        </is>
      </c>
      <c r="C34" s="6" t="n">
        <v>16</v>
      </c>
      <c r="D34" s="7" t="inlineStr">
        <is>
          <t>Holocene Dacite (Yatsushiro-Nomozaki Quaternary)</t>
        </is>
      </c>
      <c r="E34" s="5" t="inlineStr">
        <is>
          <t>Yatsushiro-Nomozaki Quaternary Volcanic Arc</t>
        </is>
      </c>
      <c r="F34" s="6" t="inlineStr">
        <is>
          <t>Holocene</t>
        </is>
      </c>
      <c r="G34" s="8" t="n">
        <v>0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Holocene</t>
        </is>
      </c>
      <c r="J34" s="8" t="n">
        <v>0.0117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dacite</t>
        </is>
      </c>
      <c r="M34" s="5" t="inlineStr">
        <is>
          <t>rhyolite</t>
        </is>
      </c>
      <c r="N34" s="5" t="inlineStr">
        <is>
          <t>volcanic</t>
        </is>
      </c>
      <c r="O34" s="5" t="inlineStr">
        <is>
          <t>Cenozoic Quaternary Holocene; dacite &amp; rhyolite lava &amp; pyroclastic rocks [Quaternary Volcanic Arc]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H_vas_al</t>
        </is>
      </c>
      <c r="U34" s="5" t="inlineStr"/>
      <c r="V34" s="10" t="inlineStr">
        <is>
          <t>H_vas_al</t>
        </is>
      </c>
      <c r="W34" s="10" t="inlineStr">
        <is>
          <t>新生代 第四紀 完新世</t>
        </is>
      </c>
      <c r="X34" s="10" t="inlineStr">
        <is>
          <t>Cenozoic Quaternary Holocene</t>
        </is>
      </c>
      <c r="Y34" s="10" t="inlineStr">
        <is>
          <t>デイサイト・流紋岩 溶岩・火砕岩</t>
        </is>
      </c>
      <c r="Z34" s="10" t="inlineStr">
        <is>
          <t>dacite &amp; rhyolite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Volcanic Arc</t>
        </is>
      </c>
    </row>
    <row r="35">
      <c r="A35" s="5" t="inlineStr">
        <is>
          <t>m200k_NI-52-12_u033</t>
        </is>
      </c>
      <c r="B35" s="6" t="inlineStr">
        <is>
          <t>col_2</t>
        </is>
      </c>
      <c r="C35" s="6" t="n">
        <v>17</v>
      </c>
      <c r="D35" s="7" t="inlineStr">
        <is>
          <t>Holocene Basalt (Yatsushiro-Nomozaki Quaternary)</t>
        </is>
      </c>
      <c r="E35" s="5" t="inlineStr">
        <is>
          <t>Yatsushiro-Nomozaki Quaternary Volcanic Arc</t>
        </is>
      </c>
      <c r="F35" s="6" t="inlineStr">
        <is>
          <t>Holocene</t>
        </is>
      </c>
      <c r="G35" s="8" t="n">
        <v>0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Holocene</t>
        </is>
      </c>
      <c r="J35" s="8" t="n">
        <v>0.0117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basalt</t>
        </is>
      </c>
      <c r="M35" s="5" t="inlineStr"/>
      <c r="N35" s="5" t="inlineStr">
        <is>
          <t>volcanic</t>
        </is>
      </c>
      <c r="O35" s="5" t="inlineStr">
        <is>
          <t>Cenozoic Quaternary Holocene; basalt lava &amp;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H_vbs_al</t>
        </is>
      </c>
      <c r="U35" s="5" t="inlineStr"/>
      <c r="V35" s="10" t="inlineStr">
        <is>
          <t>H_vbs_al</t>
        </is>
      </c>
      <c r="W35" s="10" t="inlineStr">
        <is>
          <t>新生代 第四紀 完新世</t>
        </is>
      </c>
      <c r="X35" s="10" t="inlineStr">
        <is>
          <t>Cenozoic Quaternary Holocene</t>
        </is>
      </c>
      <c r="Y35" s="10" t="inlineStr">
        <is>
          <t>玄武岩 溶岩・火砕岩</t>
        </is>
      </c>
      <c r="Z35" s="10" t="inlineStr">
        <is>
          <t>basalt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m200k_NI-52-12_u052</t>
        </is>
      </c>
      <c r="B36" s="6" t="inlineStr">
        <is>
          <t>col_3</t>
        </is>
      </c>
      <c r="C36" s="6" t="n">
        <v>1</v>
      </c>
      <c r="D36" s="7" t="inlineStr">
        <is>
          <t>Silurian Mafic (Yatsushiro-Nomozaki Metamorphic)</t>
        </is>
      </c>
      <c r="E36" s="5" t="inlineStr">
        <is>
          <t>Yatsushiro-Nomozaki Metamorphic Belt</t>
        </is>
      </c>
      <c r="F36" s="6" t="inlineStr">
        <is>
          <t>Silurian</t>
        </is>
      </c>
      <c r="G36" s="8" t="n">
        <v>419.62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Furongian</t>
        </is>
      </c>
      <c r="J36" s="8" t="n">
        <v>497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mafic</t>
        </is>
      </c>
      <c r="M36" s="5" t="inlineStr">
        <is>
          <t>gneiss</t>
        </is>
      </c>
      <c r="N36" s="5" t="inlineStr">
        <is>
          <t>metamorphic</t>
        </is>
      </c>
      <c r="O36" s="5" t="inlineStr">
        <is>
          <t>Paleozoic Cambrian Furongian - Silurian; mafic gneiss &amp; amphibolite amphibolite or granulite facies rocks of medium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Ca4-S_mgama_mag</t>
        </is>
      </c>
      <c r="U36" s="5" t="inlineStr"/>
      <c r="V36" s="10" t="inlineStr">
        <is>
          <t>Ca4-S_mgama_mag</t>
        </is>
      </c>
      <c r="W36" s="10" t="inlineStr">
        <is>
          <t>古生代 カンブリア紀 フロンギアン世〜シルル紀</t>
        </is>
      </c>
      <c r="X36" s="10" t="inlineStr">
        <is>
          <t>Paleozoic Cambrian Furongian - Silurian</t>
        </is>
      </c>
      <c r="Y36" s="10" t="inlineStr">
        <is>
          <t>苦鉄質片麻岩・角閃岩 中P/T型広域変成岩　角閃岩相・グラニュライト相</t>
        </is>
      </c>
      <c r="Z36" s="10" t="inlineStr">
        <is>
          <t>mafic gneiss &amp; amphibolite amphibolite or granulite facies rocks of medium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m200k_NI-52-12_u053</t>
        </is>
      </c>
      <c r="B37" s="6" t="inlineStr">
        <is>
          <t>col_3</t>
        </is>
      </c>
      <c r="C37" s="6" t="n">
        <v>2</v>
      </c>
      <c r="D37" s="7" t="inlineStr">
        <is>
          <t>Silurian Gneiss (Yatsushiro-Nomozaki Metamorphic)</t>
        </is>
      </c>
      <c r="E37" s="5" t="inlineStr">
        <is>
          <t>Yatsushiro-Nomozaki Metamorphic Belt</t>
        </is>
      </c>
      <c r="F37" s="6" t="inlineStr">
        <is>
          <t>Silurian</t>
        </is>
      </c>
      <c r="G37" s="8" t="n">
        <v>419.62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Furongian</t>
        </is>
      </c>
      <c r="J37" s="8" t="n">
        <v>497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gneiss</t>
        </is>
      </c>
      <c r="M37" s="5" t="inlineStr">
        <is>
          <t>migmatite</t>
        </is>
      </c>
      <c r="N37" s="5" t="inlineStr">
        <is>
          <t>metamorphic</t>
        </is>
      </c>
      <c r="O37" s="5" t="inlineStr">
        <is>
          <t>Paleozoic Cambrian Furongian - Silurian; pelitic gneiss &amp; migmatite amphibolite or granulite facies rocks of medium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Ca4-S_mgmpe_mag</t>
        </is>
      </c>
      <c r="U37" s="5" t="inlineStr"/>
      <c r="V37" s="10" t="inlineStr">
        <is>
          <t>Ca4-S_mgmpe_mag</t>
        </is>
      </c>
      <c r="W37" s="10" t="inlineStr">
        <is>
          <t>古生代 カンブリア紀 フロンギアン世〜シルル紀</t>
        </is>
      </c>
      <c r="X37" s="10" t="inlineStr">
        <is>
          <t>Paleozoic Cambrian Furongian - Silurian</t>
        </is>
      </c>
      <c r="Y37" s="10" t="inlineStr">
        <is>
          <t>泥質片麻岩・泥質ミグマタイト 中P/T型広域変成岩　角閃岩相・グラニュライト相</t>
        </is>
      </c>
      <c r="Z37" s="10" t="inlineStr">
        <is>
          <t>pelitic gneiss &amp; migmatite amphibolite or granulite facies rocks of medium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m200k_NI-52-12_u045</t>
        </is>
      </c>
      <c r="B38" s="6" t="inlineStr">
        <is>
          <t>col_3</t>
        </is>
      </c>
      <c r="C38" s="6" t="n">
        <v>3</v>
      </c>
      <c r="D38" s="7" t="inlineStr">
        <is>
          <t>Permian Tonalite (Yatsushiro-Nomozaki Metamorphic)</t>
        </is>
      </c>
      <c r="E38" s="5" t="inlineStr">
        <is>
          <t>Yatsushiro-Nomozaki Metamorphic Belt</t>
        </is>
      </c>
      <c r="F38" s="6" t="inlineStr">
        <is>
          <t>Permian</t>
        </is>
      </c>
      <c r="G38" s="8" t="n">
        <v>251.902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Permian</t>
        </is>
      </c>
      <c r="J38" s="8" t="n">
        <v>298.9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tonalite</t>
        </is>
      </c>
      <c r="M38" s="5" t="inlineStr"/>
      <c r="N38" s="5" t="inlineStr">
        <is>
          <t>metamorphic</t>
        </is>
      </c>
      <c r="O38" s="5" t="inlineStr">
        <is>
          <t>Paleozoic Permian; gneissose granodiolite &amp; tonalite island arc &amp; continental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P_pin_a</t>
        </is>
      </c>
      <c r="U38" s="5" t="inlineStr"/>
      <c r="V38" s="10" t="inlineStr">
        <is>
          <t>P_pin_a</t>
        </is>
      </c>
      <c r="W38" s="10" t="inlineStr">
        <is>
          <t>古生代 ペルム紀</t>
        </is>
      </c>
      <c r="X38" s="10" t="inlineStr">
        <is>
          <t>Paleozoic Permian</t>
        </is>
      </c>
      <c r="Y38" s="10" t="inlineStr">
        <is>
          <t>花崗閃緑岩・トーナル岩 片麻状 島弧・大陸</t>
        </is>
      </c>
      <c r="Z38" s="10" t="inlineStr">
        <is>
          <t>gneissose granodiolite &amp; tonalite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Metamorphic Belt</t>
        </is>
      </c>
    </row>
    <row r="39">
      <c r="A39" s="5" t="inlineStr">
        <is>
          <t>m200k_NI-52-12_u043</t>
        </is>
      </c>
      <c r="B39" s="6" t="inlineStr">
        <is>
          <t>col_3</t>
        </is>
      </c>
      <c r="C39" s="6" t="n">
        <v>4</v>
      </c>
      <c r="D39" s="7" t="inlineStr">
        <is>
          <t>Oxfordian Mafic (Yatsushiro-Nomozaki Metamorphic)</t>
        </is>
      </c>
      <c r="E39" s="5" t="inlineStr">
        <is>
          <t>Yatsushiro-Nomozaki Metamorphic Belt</t>
        </is>
      </c>
      <c r="F39" s="6" t="inlineStr">
        <is>
          <t>Oxfordian</t>
        </is>
      </c>
      <c r="G39" s="8" t="n">
        <v>154.8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Ladinian</t>
        </is>
      </c>
      <c r="J39" s="8" t="n">
        <v>241.464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mafic</t>
        </is>
      </c>
      <c r="M39" s="5" t="inlineStr">
        <is>
          <t>schist</t>
        </is>
      </c>
      <c r="N39" s="5" t="inlineStr">
        <is>
          <t>metamorphic</t>
        </is>
      </c>
      <c r="O39" s="5" t="inlineStr">
        <is>
          <t>Mesozoic Late Triassic Ladinian - Late Jurassic Oxfordian; mafic schist chlorite zone of high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Tr22-J31_mscma_hc</t>
        </is>
      </c>
      <c r="U39" s="5" t="inlineStr"/>
      <c r="V39" s="10" t="inlineStr">
        <is>
          <t>Tr22-J31_mscma_hc</t>
        </is>
      </c>
      <c r="W39" s="10" t="inlineStr">
        <is>
          <t>中生代 後期三畳紀 ラディニアン期〜後期ジュラ紀 オックスフォーディアン期</t>
        </is>
      </c>
      <c r="X39" s="10" t="inlineStr">
        <is>
          <t>Mesozoic Late Triassic Ladinian - Late Jurassic Oxfordian</t>
        </is>
      </c>
      <c r="Y39" s="10" t="inlineStr">
        <is>
          <t>苦鉄質片岩 高P/T型広域変成岩　緑泥石帯</t>
        </is>
      </c>
      <c r="Z39" s="10" t="inlineStr">
        <is>
          <t>mafic schist chlorite zone of high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m200k_NI-52-12_u047</t>
        </is>
      </c>
      <c r="B40" s="6" t="inlineStr">
        <is>
          <t>col_3</t>
        </is>
      </c>
      <c r="C40" s="6" t="n">
        <v>5</v>
      </c>
      <c r="D40" s="7" t="inlineStr">
        <is>
          <t>Oxfordian Schist (Yatsushiro-Nomozaki Metamorphic)</t>
        </is>
      </c>
      <c r="E40" s="5" t="inlineStr">
        <is>
          <t>Yatsushiro-Nomozaki Metamorphic Belt</t>
        </is>
      </c>
      <c r="F40" s="6" t="inlineStr">
        <is>
          <t>Oxfordian</t>
        </is>
      </c>
      <c r="G40" s="8" t="n">
        <v>154.8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Ladinian</t>
        </is>
      </c>
      <c r="J40" s="8" t="n">
        <v>241.464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schist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Late Triassic Ladinian - Late Jurassic Oxfordian; pelitic schist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Tr22-J31_mscpe_hc</t>
        </is>
      </c>
      <c r="U40" s="5" t="inlineStr"/>
      <c r="V40" s="10" t="inlineStr">
        <is>
          <t>Tr22-J31_mscpe_hc</t>
        </is>
      </c>
      <c r="W40" s="10" t="inlineStr">
        <is>
          <t>中生代 後期三畳紀 ラディニアン期〜後期ジュラ紀 オックスフォーディアン期</t>
        </is>
      </c>
      <c r="X40" s="10" t="inlineStr">
        <is>
          <t>Mesozoic Late Triassic Ladinian - Late Jurassic Oxfordian</t>
        </is>
      </c>
      <c r="Y40" s="10" t="inlineStr">
        <is>
          <t>泥質片岩 高P/T型広域変成岩　緑泥石帯</t>
        </is>
      </c>
      <c r="Z40" s="10" t="inlineStr">
        <is>
          <t>pelitic schist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m200k_NI-52-12_u050</t>
        </is>
      </c>
      <c r="B41" s="6" t="inlineStr">
        <is>
          <t>col_3</t>
        </is>
      </c>
      <c r="C41" s="6" t="n">
        <v>6</v>
      </c>
      <c r="D41" s="7" t="inlineStr">
        <is>
          <t>Albian Mafic (Yatsushiro-Nomozaki Metamorphic)</t>
        </is>
      </c>
      <c r="E41" s="5" t="inlineStr">
        <is>
          <t>Yatsushiro-Nomozaki Metamorphic Belt</t>
        </is>
      </c>
      <c r="F41" s="6" t="inlineStr">
        <is>
          <t>Albian</t>
        </is>
      </c>
      <c r="G41" s="8" t="n">
        <v>100.5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Aptian</t>
        </is>
      </c>
      <c r="J41" s="8" t="n">
        <v>121.4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mafic</t>
        </is>
      </c>
      <c r="M41" s="5" t="inlineStr">
        <is>
          <t>gneiss</t>
        </is>
      </c>
      <c r="N41" s="5" t="inlineStr">
        <is>
          <t>metamorphic</t>
        </is>
      </c>
      <c r="O41" s="5" t="inlineStr">
        <is>
          <t>Mesozoic Early Cretaceous Aptian - Albian; mafic gneiss &amp; amphibolite garnet-cordierite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K12_mgama_lgc</t>
        </is>
      </c>
      <c r="U41" s="5" t="inlineStr"/>
      <c r="V41" s="10" t="inlineStr">
        <is>
          <t>K12_mgama_lgc</t>
        </is>
      </c>
      <c r="W41" s="10" t="inlineStr">
        <is>
          <t>中生代 前期白亜紀 アプチアン期〜アルビアン期</t>
        </is>
      </c>
      <c r="X41" s="10" t="inlineStr">
        <is>
          <t>Mesozoic Early Cretaceous Aptian - Albian</t>
        </is>
      </c>
      <c r="Y41" s="10" t="inlineStr">
        <is>
          <t>苦鉄質片麻岩・角閃岩 低P/T型広域変成岩　ざくろ石菫青石帯</t>
        </is>
      </c>
      <c r="Z41" s="10" t="inlineStr">
        <is>
          <t>mafic gneiss &amp; amphibolite garnet-cordierite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m200k_NI-52-12_u041</t>
        </is>
      </c>
      <c r="B42" s="6" t="inlineStr">
        <is>
          <t>col_3</t>
        </is>
      </c>
      <c r="C42" s="6" t="n">
        <v>7</v>
      </c>
      <c r="D42" s="7" t="inlineStr">
        <is>
          <t>Selandian Schist (Yatsushiro-Nomozaki Metamorphic)</t>
        </is>
      </c>
      <c r="E42" s="5" t="inlineStr">
        <is>
          <t>Yatsushiro-Nomozaki Metamorphic Belt</t>
        </is>
      </c>
      <c r="F42" s="6" t="inlineStr">
        <is>
          <t>Selandian</t>
        </is>
      </c>
      <c r="G42" s="8" t="n">
        <v>59.24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Cretaceous</t>
        </is>
      </c>
      <c r="J42" s="8" t="n">
        <v>143.1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schist</t>
        </is>
      </c>
      <c r="M42" s="5" t="inlineStr">
        <is>
          <t>metamorphic</t>
        </is>
      </c>
      <c r="N42" s="5" t="inlineStr">
        <is>
          <t>metamorphic</t>
        </is>
      </c>
      <c r="O42" s="5" t="inlineStr">
        <is>
          <t>Mesozoic Late Cretaceous - Cenozoic Paleogene Paleocene Selandian; pelitic schist biotite zone of low P/T regional metamorphic rocks [Metamorphic Belt]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K2-Pg12_mscpe_lb</t>
        </is>
      </c>
      <c r="U42" s="5" t="inlineStr"/>
      <c r="V42" s="10" t="inlineStr">
        <is>
          <t>K2-Pg12_mscpe_lb</t>
        </is>
      </c>
      <c r="W42" s="10" t="inlineStr">
        <is>
          <t>中生代 後期白亜紀〜新生代 古第三紀 暁新世 セランディアン期</t>
        </is>
      </c>
      <c r="X42" s="10" t="inlineStr">
        <is>
          <t>Mesozoic Late Cretaceous - Cenozoic Paleogene Paleocene Selandian</t>
        </is>
      </c>
      <c r="Y42" s="10" t="inlineStr">
        <is>
          <t>泥質片岩 低P/T型広域変成岩　黒雲母帯</t>
        </is>
      </c>
      <c r="Z42" s="10" t="inlineStr">
        <is>
          <t>pelitic schist biotite zone of low P/T regional metamorphic rocks</t>
        </is>
      </c>
      <c r="AA42" s="10" t="inlineStr">
        <is>
          <t>変成岩</t>
        </is>
      </c>
      <c r="AB42" s="10" t="inlineStr">
        <is>
          <t>Metamorphic rocks</t>
        </is>
      </c>
      <c r="AC42" s="10" t="inlineStr">
        <is>
          <t>Metamorphic Belt</t>
        </is>
      </c>
    </row>
    <row r="43">
      <c r="A43" s="5" t="inlineStr">
        <is>
          <t>m200k_NI-52-12_u042</t>
        </is>
      </c>
      <c r="B43" s="6" t="inlineStr">
        <is>
          <t>col_3</t>
        </is>
      </c>
      <c r="C43" s="6" t="n">
        <v>8</v>
      </c>
      <c r="D43" s="7" t="inlineStr">
        <is>
          <t>Selandian Mafic (Yatsushiro-Nomozaki Metamorphic)</t>
        </is>
      </c>
      <c r="E43" s="5" t="inlineStr">
        <is>
          <t>Yatsushiro-Nomozaki Metamorphic Belt</t>
        </is>
      </c>
      <c r="F43" s="6" t="inlineStr">
        <is>
          <t>Selandian</t>
        </is>
      </c>
      <c r="G43" s="8" t="n">
        <v>59.24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Cretaceous</t>
        </is>
      </c>
      <c r="J43" s="8" t="n">
        <v>143.1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mafic</t>
        </is>
      </c>
      <c r="M43" s="5" t="inlineStr">
        <is>
          <t>schist</t>
        </is>
      </c>
      <c r="N43" s="5" t="inlineStr">
        <is>
          <t>metamorphic</t>
        </is>
      </c>
      <c r="O43" s="5" t="inlineStr">
        <is>
          <t>Mesozoic Late Cretaceous - Cenozoic Paleogene Paleocene Selandian; mafic schist biotite zone of low P/T regional metamorphic rocks [Metamorphic Belt]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K2-Pg12_mscma_lb</t>
        </is>
      </c>
      <c r="U43" s="5" t="inlineStr"/>
      <c r="V43" s="10" t="inlineStr">
        <is>
          <t>K2-Pg12_mscma_lb</t>
        </is>
      </c>
      <c r="W43" s="10" t="inlineStr">
        <is>
          <t>中生代 後期白亜紀〜新生代 古第三紀 暁新世 セランディアン期</t>
        </is>
      </c>
      <c r="X43" s="10" t="inlineStr">
        <is>
          <t>Mesozoic Late Cretaceous - Cenozoic Paleogene Paleocene Selandian</t>
        </is>
      </c>
      <c r="Y43" s="10" t="inlineStr">
        <is>
          <t>苦鉄質片岩 低P/T型広域変成岩　黒雲母帯</t>
        </is>
      </c>
      <c r="Z43" s="10" t="inlineStr">
        <is>
          <t>mafic schist biotite zone of low P/T regional metamorphic rocks</t>
        </is>
      </c>
      <c r="AA43" s="10" t="inlineStr">
        <is>
          <t>変成岩</t>
        </is>
      </c>
      <c r="AB43" s="10" t="inlineStr">
        <is>
          <t>Metamorphic rocks</t>
        </is>
      </c>
      <c r="AC43" s="10" t="inlineStr">
        <is>
          <t>Metamorphic Belt</t>
        </is>
      </c>
    </row>
    <row r="44">
      <c r="A44" s="5" t="inlineStr">
        <is>
          <t>m200k_NI-52-12_u044</t>
        </is>
      </c>
      <c r="B44" s="6" t="inlineStr">
        <is>
          <t>col_3</t>
        </is>
      </c>
      <c r="C44" s="6" t="n">
        <v>9</v>
      </c>
      <c r="D44" s="7" t="inlineStr">
        <is>
          <t>Selandian Schist (Yatsushiro-Nomozaki Metamorphic)</t>
        </is>
      </c>
      <c r="E44" s="5" t="inlineStr">
        <is>
          <t>Yatsushiro-Nomozaki Metamorphic Belt</t>
        </is>
      </c>
      <c r="F44" s="6" t="inlineStr">
        <is>
          <t>Selandian</t>
        </is>
      </c>
      <c r="G44" s="8" t="n">
        <v>59.24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Cretaceous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schist</t>
        </is>
      </c>
      <c r="M44" s="5" t="inlineStr">
        <is>
          <t>gneiss</t>
        </is>
      </c>
      <c r="N44" s="5" t="inlineStr">
        <is>
          <t>metamorphic</t>
        </is>
      </c>
      <c r="O44" s="5" t="inlineStr">
        <is>
          <t>Mesozoic Late Cretaceous - Cenozoic Paleogene Paleocene Selandian; pelitic schist, granofels &amp; gneiss Kfeldspar-cordierite zone of low P/T regional metamorphic rocks [Metamorphic Belt]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K2-Pg12_msnpe_lkc</t>
        </is>
      </c>
      <c r="U44" s="5" t="inlineStr"/>
      <c r="V44" s="10" t="inlineStr">
        <is>
          <t>K2-Pg12_msnpe_lkc</t>
        </is>
      </c>
      <c r="W44" s="10" t="inlineStr">
        <is>
          <t>中生代 後期白亜紀〜新生代 古第三紀 暁新世 セランディアン期</t>
        </is>
      </c>
      <c r="X44" s="10" t="inlineStr">
        <is>
          <t>Mesozoic Late Cretaceous - Cenozoic Paleogene Paleocene Selandian</t>
        </is>
      </c>
      <c r="Y44" s="10" t="inlineStr">
        <is>
          <t>泥質片岩・泥質グラノフェルス・泥質片麻岩 低P/T型広域変成岩　カリ長石菫青石帯</t>
        </is>
      </c>
      <c r="Z44" s="10" t="inlineStr">
        <is>
          <t>pelitic schist, granofels &amp; gneiss Kfeldspar-cordierite zone of low P/T regional metamorphic rocks</t>
        </is>
      </c>
      <c r="AA44" s="10" t="inlineStr">
        <is>
          <t>変成岩</t>
        </is>
      </c>
      <c r="AB44" s="10" t="inlineStr">
        <is>
          <t>Metamorphic rocks</t>
        </is>
      </c>
      <c r="AC44" s="10" t="inlineStr">
        <is>
          <t>Metamorphic Belt</t>
        </is>
      </c>
    </row>
    <row r="45">
      <c r="A45" s="5" t="inlineStr">
        <is>
          <t>m200k_NI-52-12_u046</t>
        </is>
      </c>
      <c r="B45" s="6" t="inlineStr">
        <is>
          <t>col_3</t>
        </is>
      </c>
      <c r="C45" s="6" t="n">
        <v>10</v>
      </c>
      <c r="D45" s="7" t="inlineStr">
        <is>
          <t>Selandian Mafic (Yatsushiro-Nomozaki Metamorphic)</t>
        </is>
      </c>
      <c r="E45" s="5" t="inlineStr">
        <is>
          <t>Yatsushiro-Nomozaki Metamorphic Belt</t>
        </is>
      </c>
      <c r="F45" s="6" t="inlineStr">
        <is>
          <t>Selandian</t>
        </is>
      </c>
      <c r="G45" s="8" t="n">
        <v>59.24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Cretaceous</t>
        </is>
      </c>
      <c r="J45" s="8" t="n">
        <v>143.1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mafic</t>
        </is>
      </c>
      <c r="M45" s="5" t="inlineStr">
        <is>
          <t>schist</t>
        </is>
      </c>
      <c r="N45" s="5" t="inlineStr">
        <is>
          <t>metamorphic</t>
        </is>
      </c>
      <c r="O45" s="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K2-Pg12_msama_lkc</t>
        </is>
      </c>
      <c r="U45" s="5" t="inlineStr"/>
      <c r="V45" s="10" t="inlineStr">
        <is>
          <t>K2-Pg12_msama_lkc</t>
        </is>
      </c>
      <c r="W45" s="10" t="inlineStr">
        <is>
          <t>中生代 後期白亜紀〜新生代 古第三紀 暁新世 セランディアン期</t>
        </is>
      </c>
      <c r="X45" s="10" t="inlineStr">
        <is>
          <t>Mesozoic Late Cretaceous - Cenozoic Paleogene Paleocene Selandian</t>
        </is>
      </c>
      <c r="Y45" s="10" t="inlineStr">
        <is>
          <t>苦鉄質片岩・苦鉄質グラノフェルス・角閃岩 低P/T型広域変成岩　カリ長石菫青石帯</t>
        </is>
      </c>
      <c r="Z45" s="10" t="inlineStr">
        <is>
          <t>mafic schist and granofels &amp; amphibolite Kfeldspar-cordierite zone of low P/T regional metamorphic rocks</t>
        </is>
      </c>
      <c r="AA45" s="10" t="inlineStr">
        <is>
          <t>変成岩</t>
        </is>
      </c>
      <c r="AB45" s="10" t="inlineStr">
        <is>
          <t>Metamorphic rocks</t>
        </is>
      </c>
      <c r="AC45" s="10" t="inlineStr">
        <is>
          <t>Metamorphic Belt</t>
        </is>
      </c>
    </row>
    <row r="46">
      <c r="A46" s="5" t="inlineStr">
        <is>
          <t>m200k_NI-52-12_u048</t>
        </is>
      </c>
      <c r="B46" s="6" t="inlineStr">
        <is>
          <t>col_3</t>
        </is>
      </c>
      <c r="C46" s="6" t="n">
        <v>11</v>
      </c>
      <c r="D46" s="7" t="inlineStr">
        <is>
          <t>Selandian Schist (Yatsushiro-Nomozaki Metamorphic)</t>
        </is>
      </c>
      <c r="E46" s="5" t="inlineStr">
        <is>
          <t>Yatsushiro-Nomozaki Metamorphic Belt</t>
        </is>
      </c>
      <c r="F46" s="6" t="inlineStr">
        <is>
          <t>Selandian</t>
        </is>
      </c>
      <c r="G46" s="8" t="n">
        <v>59.24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Cretaceous</t>
        </is>
      </c>
      <c r="J46" s="8" t="n">
        <v>143.1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schist</t>
        </is>
      </c>
      <c r="M46" s="5" t="inlineStr">
        <is>
          <t>gneiss</t>
        </is>
      </c>
      <c r="N46" s="5" t="inlineStr">
        <is>
          <t>metamorphic</t>
        </is>
      </c>
      <c r="O46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K2-Pg12_msmsi_lkc</t>
        </is>
      </c>
      <c r="U46" s="5" t="inlineStr"/>
      <c r="V46" s="10" t="inlineStr">
        <is>
          <t>K2-Pg12_msmsi_lkc</t>
        </is>
      </c>
      <c r="W46" s="10" t="inlineStr">
        <is>
          <t>中生代 後期白亜紀〜新生代 古第三紀 暁新世 セランディアン期</t>
        </is>
      </c>
      <c r="X46" s="10" t="inlineStr">
        <is>
          <t>Mesozoic Late Cretaceous - Cenozoic Paleogene Paleocene Selandian</t>
        </is>
      </c>
      <c r="Y46" s="10" t="inlineStr">
        <is>
          <t>珪質片岩・珪質グラノフェルス・珪質片麻岩・珪質ミグマタイト 低P/T型広域変成岩　カリ長石菫青石帯</t>
        </is>
      </c>
      <c r="Z46" s="10" t="inlineStr">
        <is>
          <t>siliceous  schist, granofels, gneiss &amp; migmatite Kfeldspar-cordierite zone of low P/T regional metamorphic rocks</t>
        </is>
      </c>
      <c r="AA46" s="10" t="inlineStr">
        <is>
          <t>変成岩</t>
        </is>
      </c>
      <c r="AB46" s="10" t="inlineStr">
        <is>
          <t>Metamorphic rocks</t>
        </is>
      </c>
      <c r="AC46" s="10" t="inlineStr">
        <is>
          <t>Metamorphic Belt</t>
        </is>
      </c>
    </row>
    <row r="47">
      <c r="A47" s="5" t="inlineStr">
        <is>
          <t>m200k_NI-52-12_u049</t>
        </is>
      </c>
      <c r="B47" s="6" t="inlineStr">
        <is>
          <t>col_3</t>
        </is>
      </c>
      <c r="C47" s="6" t="n">
        <v>12</v>
      </c>
      <c r="D47" s="7" t="inlineStr">
        <is>
          <t>Selandian Metamorphic (Yatsushiro-Nomozaki Metamorphic)</t>
        </is>
      </c>
      <c r="E47" s="5" t="inlineStr">
        <is>
          <t>Yatsushiro-Nomozaki Metamorphic Belt</t>
        </is>
      </c>
      <c r="F47" s="6" t="inlineStr">
        <is>
          <t>Selandian</t>
        </is>
      </c>
      <c r="G47" s="8" t="n">
        <v>59.24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Cretaceous</t>
        </is>
      </c>
      <c r="J47" s="8" t="n">
        <v>143.1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metamorphic</t>
        </is>
      </c>
      <c r="M47" s="5" t="inlineStr"/>
      <c r="N47" s="5" t="inlineStr">
        <is>
          <t>metamorphic</t>
        </is>
      </c>
      <c r="O47" s="5" t="inlineStr">
        <is>
          <t>Mesozoic Late Cretaceous - Cenozoic Paleogene Paleocene Selandian; metachert biotite zone of low P/T regional metamorphic rocks [Metamorphic Belt]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K2-Pg12_mrch_lb</t>
        </is>
      </c>
      <c r="U47" s="5" t="inlineStr"/>
      <c r="V47" s="10" t="inlineStr">
        <is>
          <t>K2-Pg12_mrch_lb</t>
        </is>
      </c>
      <c r="W47" s="10" t="inlineStr">
        <is>
          <t>中生代 後期白亜紀〜新生代 古第三紀 暁新世 セランディアン期</t>
        </is>
      </c>
      <c r="X47" s="10" t="inlineStr">
        <is>
          <t>Mesozoic Late Cretaceous - Cenozoic Paleogene Paleocene Selandian</t>
        </is>
      </c>
      <c r="Y47" s="10" t="inlineStr">
        <is>
          <t>変成チャート 低P/T型広域変成岩　黒雲母帯</t>
        </is>
      </c>
      <c r="Z47" s="10" t="inlineStr">
        <is>
          <t>metachert biotite zone of low P/T regional metamorphic rocks</t>
        </is>
      </c>
      <c r="AA47" s="10" t="inlineStr">
        <is>
          <t>変成岩</t>
        </is>
      </c>
      <c r="AB47" s="10" t="inlineStr">
        <is>
          <t>Metamorphic rocks</t>
        </is>
      </c>
      <c r="AC47" s="10" t="inlineStr">
        <is>
          <t>Metamorphic Belt</t>
        </is>
      </c>
    </row>
    <row r="48">
      <c r="A48" s="5" t="inlineStr">
        <is>
          <t>m200k_NI-52-12_u051</t>
        </is>
      </c>
      <c r="B48" s="6" t="inlineStr">
        <is>
          <t>col_3</t>
        </is>
      </c>
      <c r="C48" s="6" t="n">
        <v>13</v>
      </c>
      <c r="D48" s="7" t="inlineStr">
        <is>
          <t>Selandian Marble (Yatsushiro-Nomozaki Metamorphic)</t>
        </is>
      </c>
      <c r="E48" s="5" t="inlineStr">
        <is>
          <t>Yatsushiro-Nomozaki Metamorphic Belt</t>
        </is>
      </c>
      <c r="F48" s="6" t="inlineStr">
        <is>
          <t>Selandian</t>
        </is>
      </c>
      <c r="G48" s="8" t="n">
        <v>59.24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Cretaceous</t>
        </is>
      </c>
      <c r="J48" s="8" t="n">
        <v>143.1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marble</t>
        </is>
      </c>
      <c r="M48" s="5" t="inlineStr">
        <is>
          <t>metamorphic</t>
        </is>
      </c>
      <c r="N48" s="5" t="inlineStr">
        <is>
          <t>metamorphic</t>
        </is>
      </c>
      <c r="O48" s="5" t="inlineStr">
        <is>
          <t>Mesozoic Late Cretaceous - Cenozoic Paleogene Paleocene Selandian; marble biotite zone of low P/T regional metamorphic rocks [Metamorphic Belt]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K2-Pg12_mrls_lb</t>
        </is>
      </c>
      <c r="U48" s="5" t="inlineStr"/>
      <c r="V48" s="10" t="inlineStr">
        <is>
          <t>K2-Pg12_mrls_lb</t>
        </is>
      </c>
      <c r="W48" s="10" t="inlineStr">
        <is>
          <t>中生代 後期白亜紀〜新生代 古第三紀 暁新世 セランディアン期</t>
        </is>
      </c>
      <c r="X48" s="10" t="inlineStr">
        <is>
          <t>Mesozoic Late Cretaceous - Cenozoic Paleogene Paleocene Selandian</t>
        </is>
      </c>
      <c r="Y48" s="10" t="inlineStr">
        <is>
          <t>大理石 低P/T型広域変成岩　黒雲母帯</t>
        </is>
      </c>
      <c r="Z48" s="10" t="inlineStr">
        <is>
          <t>marble biotite zone of low P/T regional metamorphic rocks</t>
        </is>
      </c>
      <c r="AA48" s="10" t="inlineStr">
        <is>
          <t>変成岩</t>
        </is>
      </c>
      <c r="AB48" s="10" t="inlineStr">
        <is>
          <t>Metamorphic rocks</t>
        </is>
      </c>
      <c r="AC48" s="10" t="inlineStr">
        <is>
          <t>Metamorphic Belt</t>
        </is>
      </c>
    </row>
    <row r="49">
      <c r="A49" s="5" t="inlineStr">
        <is>
          <t>m200k_NI-52-12_u035</t>
        </is>
      </c>
      <c r="B49" s="6" t="inlineStr">
        <is>
          <t>col_3</t>
        </is>
      </c>
      <c r="C49" s="6" t="n">
        <v>14</v>
      </c>
      <c r="D49" s="7" t="inlineStr">
        <is>
          <t>Selandian Schist (Yatsushiro-Nomozaki Metamorphic)</t>
        </is>
      </c>
      <c r="E49" s="5" t="inlineStr">
        <is>
          <t>Yatsushiro-Nomozaki Metamorphic Belt</t>
        </is>
      </c>
      <c r="F49" s="6" t="inlineStr">
        <is>
          <t>Selandian</t>
        </is>
      </c>
      <c r="G49" s="8" t="n">
        <v>59.24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Albian</t>
        </is>
      </c>
      <c r="J49" s="8" t="n">
        <v>113.2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schist</t>
        </is>
      </c>
      <c r="M49" s="5" t="inlineStr">
        <is>
          <t>metamorphic</t>
        </is>
      </c>
      <c r="N49" s="5" t="inlineStr">
        <is>
          <t>metamorphic</t>
        </is>
      </c>
      <c r="O49" s="5" t="inlineStr">
        <is>
          <t>Mesozoic Early Cretaceous Albian - Cenozoic Paleogene Paleocene Selandian; pelitic schist chlorite zone of high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K122-Pg12_mscpe_hc</t>
        </is>
      </c>
      <c r="U49" s="5" t="inlineStr"/>
      <c r="V49" s="10" t="inlineStr">
        <is>
          <t>K122-Pg12_mscpe_hc</t>
        </is>
      </c>
      <c r="W49" s="10" t="inlineStr">
        <is>
          <t>中生代 前期白亜紀 アルビアン期〜新生代 古第三紀 暁新世 セランディアン期</t>
        </is>
      </c>
      <c r="X49" s="10" t="inlineStr">
        <is>
          <t>Mesozoic Early Cretaceous Albian - Cenozoic Paleogene Paleocene Selandian</t>
        </is>
      </c>
      <c r="Y49" s="10" t="inlineStr">
        <is>
          <t>泥質片岩 高P/T型広域変成岩　緑泥石帯</t>
        </is>
      </c>
      <c r="Z49" s="10" t="inlineStr">
        <is>
          <t>pelitic schist chlorite zone of high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m200k_NI-52-12_u036</t>
        </is>
      </c>
      <c r="B50" s="6" t="inlineStr">
        <is>
          <t>col_3</t>
        </is>
      </c>
      <c r="C50" s="6" t="n">
        <v>15</v>
      </c>
      <c r="D50" s="7" t="inlineStr">
        <is>
          <t>Selandian Schist (Yatsushiro-Nomozaki Metamorphic)</t>
        </is>
      </c>
      <c r="E50" s="5" t="inlineStr">
        <is>
          <t>Yatsushiro-Nomozaki Metamorphic Belt</t>
        </is>
      </c>
      <c r="F50" s="6" t="inlineStr">
        <is>
          <t>Selandian</t>
        </is>
      </c>
      <c r="G50" s="8" t="n">
        <v>59.24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Albian</t>
        </is>
      </c>
      <c r="J50" s="8" t="n">
        <v>113.2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Mesozoic Early Cretaceous Albian - Cenozoic Paleogene Paleocene Selandian; calcareous schist chlorite zone of high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K122-Pg12_mscca_hc</t>
        </is>
      </c>
      <c r="U50" s="5" t="inlineStr"/>
      <c r="V50" s="10" t="inlineStr">
        <is>
          <t>K122-Pg12_mscca_hc</t>
        </is>
      </c>
      <c r="W50" s="10" t="inlineStr">
        <is>
          <t>中生代 前期白亜紀 アルビアン期〜新生代 古第三紀 暁新世 セランディアン期</t>
        </is>
      </c>
      <c r="X50" s="10" t="inlineStr">
        <is>
          <t>Mesozoic Early Cretaceous Albian - Cenozoic Paleogene Paleocene Selandian</t>
        </is>
      </c>
      <c r="Y50" s="10" t="inlineStr">
        <is>
          <t>石灰質片岩 高P/T型広域変成岩　緑泥石帯</t>
        </is>
      </c>
      <c r="Z50" s="10" t="inlineStr">
        <is>
          <t>calcareous schist chlorite zone of high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m200k_NI-52-12_u037</t>
        </is>
      </c>
      <c r="B51" s="6" t="inlineStr">
        <is>
          <t>col_3</t>
        </is>
      </c>
      <c r="C51" s="6" t="n">
        <v>16</v>
      </c>
      <c r="D51" s="7" t="inlineStr">
        <is>
          <t>Selandian Mafic (Yatsushiro-Nomozaki Metamorphic)</t>
        </is>
      </c>
      <c r="E51" s="5" t="inlineStr">
        <is>
          <t>Yatsushiro-Nomozaki Metamorphic Belt</t>
        </is>
      </c>
      <c r="F51" s="6" t="inlineStr">
        <is>
          <t>Selandian</t>
        </is>
      </c>
      <c r="G51" s="8" t="n">
        <v>59.24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Albian</t>
        </is>
      </c>
      <c r="J51" s="8" t="n">
        <v>113.2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mafic</t>
        </is>
      </c>
      <c r="M51" s="5" t="inlineStr">
        <is>
          <t>schist</t>
        </is>
      </c>
      <c r="N51" s="5" t="inlineStr">
        <is>
          <t>metamorphic</t>
        </is>
      </c>
      <c r="O51" s="5" t="inlineStr">
        <is>
          <t>Mesozoic Early Cretaceous Albian - Cenozoic Paleogene Paleocene Selandian; mafic schist chlorite zone of high P/T regional metamorphic rocks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K122-Pg12_mscma_hc</t>
        </is>
      </c>
      <c r="U51" s="5" t="inlineStr"/>
      <c r="V51" s="10" t="inlineStr">
        <is>
          <t>K122-Pg12_mscma_hc</t>
        </is>
      </c>
      <c r="W51" s="10" t="inlineStr">
        <is>
          <t>中生代 前期白亜紀 アルビアン期〜新生代 古第三紀 暁新世 セランディアン期</t>
        </is>
      </c>
      <c r="X51" s="10" t="inlineStr">
        <is>
          <t>Mesozoic Early Cretaceous Albian - Cenozoic Paleogene Paleocene Selandian</t>
        </is>
      </c>
      <c r="Y51" s="10" t="inlineStr">
        <is>
          <t>苦鉄質片岩 高P/T型広域変成岩　緑泥石帯</t>
        </is>
      </c>
      <c r="Z51" s="10" t="inlineStr">
        <is>
          <t>mafic schist chlorite zone of high P/T regional metamorphic rocks</t>
        </is>
      </c>
      <c r="AA51" s="10" t="inlineStr">
        <is>
          <t>変成岩</t>
        </is>
      </c>
      <c r="AB51" s="10" t="inlineStr">
        <is>
          <t>Metamorphic rocks</t>
        </is>
      </c>
      <c r="AC51" s="10" t="inlineStr">
        <is>
          <t>Metamorphic Belt</t>
        </is>
      </c>
    </row>
    <row r="52">
      <c r="A52" s="5" t="inlineStr">
        <is>
          <t>m200k_NI-52-12_u038</t>
        </is>
      </c>
      <c r="B52" s="6" t="inlineStr">
        <is>
          <t>col_3</t>
        </is>
      </c>
      <c r="C52" s="6" t="n">
        <v>17</v>
      </c>
      <c r="D52" s="7" t="inlineStr">
        <is>
          <t>Selandian Schist (Yatsushiro-Nomozaki Metamorphic)</t>
        </is>
      </c>
      <c r="E52" s="5" t="inlineStr">
        <is>
          <t>Yatsushiro-Nomozaki Metamorphic Belt</t>
        </is>
      </c>
      <c r="F52" s="6" t="inlineStr">
        <is>
          <t>Selandian</t>
        </is>
      </c>
      <c r="G52" s="8" t="n">
        <v>59.24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Albian</t>
        </is>
      </c>
      <c r="J52" s="8" t="n">
        <v>113.2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schist</t>
        </is>
      </c>
      <c r="M52" s="5" t="inlineStr">
        <is>
          <t>metamorphic</t>
        </is>
      </c>
      <c r="N52" s="5" t="inlineStr">
        <is>
          <t>metamorphic</t>
        </is>
      </c>
      <c r="O52" s="5" t="inlineStr">
        <is>
          <t>Mesozoic Early Cretaceous Albian - Cenozoic Paleogene Paleocene Selandian; psammitic schist chlorite zone of high P/T regional metamorphic rocks [Metamorphic Belt]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K122-Pg12_mscps_hc</t>
        </is>
      </c>
      <c r="U52" s="5" t="inlineStr"/>
      <c r="V52" s="10" t="inlineStr">
        <is>
          <t>K122-Pg12_mscps_hc</t>
        </is>
      </c>
      <c r="W52" s="10" t="inlineStr">
        <is>
          <t>中生代 前期白亜紀 アルビアン期〜新生代 古第三紀 暁新世 セランディアン期</t>
        </is>
      </c>
      <c r="X52" s="10" t="inlineStr">
        <is>
          <t>Mesozoic Early Cretaceous Albian - Cenozoic Paleogene Paleocene Selandian</t>
        </is>
      </c>
      <c r="Y52" s="10" t="inlineStr">
        <is>
          <t>砂質片岩 高P/T型広域変成岩　緑泥石帯</t>
        </is>
      </c>
      <c r="Z52" s="10" t="inlineStr">
        <is>
          <t>psammitic schist chlorite zone of high P/T regional metamorphic rocks</t>
        </is>
      </c>
      <c r="AA52" s="10" t="inlineStr">
        <is>
          <t>変成岩</t>
        </is>
      </c>
      <c r="AB52" s="10" t="inlineStr">
        <is>
          <t>Metamorphic rocks</t>
        </is>
      </c>
      <c r="AC52" s="10" t="inlineStr">
        <is>
          <t>Metamorphic Belt</t>
        </is>
      </c>
    </row>
    <row r="53">
      <c r="A53" s="5" t="inlineStr">
        <is>
          <t>m200k_NI-52-12_u039</t>
        </is>
      </c>
      <c r="B53" s="6" t="inlineStr">
        <is>
          <t>col_3</t>
        </is>
      </c>
      <c r="C53" s="6" t="n">
        <v>18</v>
      </c>
      <c r="D53" s="7" t="inlineStr">
        <is>
          <t>Selandian Serpentinite (Yatsushiro-Nomozaki Metamorphic)</t>
        </is>
      </c>
      <c r="E53" s="5" t="inlineStr">
        <is>
          <t>Yatsushiro-Nomozaki Metamorphic Belt</t>
        </is>
      </c>
      <c r="F53" s="6" t="inlineStr">
        <is>
          <t>Selandian</t>
        </is>
      </c>
      <c r="G53" s="8" t="n">
        <v>59.24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Albian</t>
        </is>
      </c>
      <c r="J53" s="8" t="n">
        <v>113.2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serpentinite</t>
        </is>
      </c>
      <c r="M53" s="5" t="inlineStr">
        <is>
          <t>metamorphic</t>
        </is>
      </c>
      <c r="N53" s="5" t="inlineStr">
        <is>
          <t>metamorphic</t>
        </is>
      </c>
      <c r="O53" s="5" t="inlineStr">
        <is>
          <t>Mesozoic Early Cretaceous Albian - Cenozoic Paleogene Paleocene Selandian; serpentinite chlorite zone of high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K122-Pg12_msp_hc</t>
        </is>
      </c>
      <c r="U53" s="5" t="inlineStr"/>
      <c r="V53" s="10" t="inlineStr">
        <is>
          <t>K122-Pg12_msp_hc</t>
        </is>
      </c>
      <c r="W53" s="10" t="inlineStr">
        <is>
          <t>中生代 前期白亜紀 アルビアン期〜新生代 古第三紀 暁新世 セランディアン期</t>
        </is>
      </c>
      <c r="X53" s="10" t="inlineStr">
        <is>
          <t>Mesozoic Early Cretaceous Albian - Cenozoic Paleogene Paleocene Selandian</t>
        </is>
      </c>
      <c r="Y53" s="10" t="inlineStr">
        <is>
          <t>蛇紋岩  高P/T型広域変成岩　緑泥石帯</t>
        </is>
      </c>
      <c r="Z53" s="10" t="inlineStr">
        <is>
          <t>serpentinite chlorite zone of high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m200k_NI-52-12_u040</t>
        </is>
      </c>
      <c r="B54" s="6" t="inlineStr">
        <is>
          <t>col_3</t>
        </is>
      </c>
      <c r="C54" s="6" t="n">
        <v>19</v>
      </c>
      <c r="D54" s="7" t="inlineStr">
        <is>
          <t>Selandian Schist (Yatsushiro-Nomozaki Metamorphic)</t>
        </is>
      </c>
      <c r="E54" s="5" t="inlineStr">
        <is>
          <t>Yatsushiro-Nomozaki Metamorphic Belt</t>
        </is>
      </c>
      <c r="F54" s="6" t="inlineStr">
        <is>
          <t>Selandian</t>
        </is>
      </c>
      <c r="G54" s="8" t="n">
        <v>59.24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Albian</t>
        </is>
      </c>
      <c r="J54" s="8" t="n">
        <v>113.2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Mesozoic Early Cretaceous Albian - Cenozoic Paleogene Paleocene Selandian; siliceous schist chlorite zone of high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K122-Pg12_mscsi_hc</t>
        </is>
      </c>
      <c r="U54" s="5" t="inlineStr"/>
      <c r="V54" s="10" t="inlineStr">
        <is>
          <t>K122-Pg12_mscsi_hc</t>
        </is>
      </c>
      <c r="W54" s="10" t="inlineStr">
        <is>
          <t>中生代 前期白亜紀 アルビアン期〜新生代 古第三紀 暁新世 セランディアン期</t>
        </is>
      </c>
      <c r="X54" s="10" t="inlineStr">
        <is>
          <t>Mesozoic Early Cretaceous Albian - Cenozoic Paleogene Paleocene Selandian</t>
        </is>
      </c>
      <c r="Y54" s="10" t="inlineStr">
        <is>
          <t>珪質片岩 高P/T型広域変成岩　緑泥石帯</t>
        </is>
      </c>
      <c r="Z54" s="10" t="inlineStr">
        <is>
          <t>siliceous schist chlorite zone of high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m200k_NI-52-12_u065</t>
        </is>
      </c>
      <c r="B55" s="6" t="inlineStr">
        <is>
          <t>col_4</t>
        </is>
      </c>
      <c r="C55" s="6" t="n">
        <v>1</v>
      </c>
      <c r="D55" s="7" t="inlineStr">
        <is>
          <t>Triassic Sandstone (Yatsushiro-Nomozaki Mesozoic)</t>
        </is>
      </c>
      <c r="E55" s="5" t="inlineStr">
        <is>
          <t>Yatsushiro-Nomozaki Mesozoic Sedimentary Basin</t>
        </is>
      </c>
      <c r="F55" s="6" t="inlineStr">
        <is>
          <t>Triassic</t>
        </is>
      </c>
      <c r="G55" s="8" t="n">
        <v>201.4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Ladinian</t>
        </is>
      </c>
      <c r="J55" s="8" t="n">
        <v>241.464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Mesozoic Late Triassic Ladinian - Late Triassic; marine sandstone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Tr22-3_soss</t>
        </is>
      </c>
      <c r="U55" s="5" t="inlineStr"/>
      <c r="V55" s="10" t="inlineStr">
        <is>
          <t>Tr22-3_soss</t>
        </is>
      </c>
      <c r="W55" s="10" t="inlineStr">
        <is>
          <t>中生代 後期三畳紀 ラディニアン期〜後期三畳紀</t>
        </is>
      </c>
      <c r="X55" s="10" t="inlineStr">
        <is>
          <t>Mesozoic Late Triassic Ladinian - Late Triassic</t>
        </is>
      </c>
      <c r="Y55" s="10" t="inlineStr">
        <is>
          <t>海成層 砂岩</t>
        </is>
      </c>
      <c r="Z55" s="10" t="inlineStr">
        <is>
          <t>marine sandstone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m200k_NI-52-12_u070</t>
        </is>
      </c>
      <c r="B56" s="6" t="inlineStr">
        <is>
          <t>col_4</t>
        </is>
      </c>
      <c r="C56" s="6" t="n">
        <v>2</v>
      </c>
      <c r="D56" s="7" t="inlineStr">
        <is>
          <t>Triassic Sandstone (Yatsushiro-Nomozaki Mesozoic)</t>
        </is>
      </c>
      <c r="E56" s="5" t="inlineStr">
        <is>
          <t>Yatsushiro-Nomozaki Mesozoic Sedimentary Basin</t>
        </is>
      </c>
      <c r="F56" s="6" t="inlineStr">
        <is>
          <t>Triassic</t>
        </is>
      </c>
      <c r="G56" s="8" t="n">
        <v>201.4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Ladinian</t>
        </is>
      </c>
      <c r="J56" s="8" t="n">
        <v>241.464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Mesozoic Late Triassic Ladinian - Late Triassic; marine alternation of sandstone &amp; mudstone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Tr22-3_sosma</t>
        </is>
      </c>
      <c r="U56" s="5" t="inlineStr"/>
      <c r="V56" s="10" t="inlineStr">
        <is>
          <t>Tr22-3_sosma</t>
        </is>
      </c>
      <c r="W56" s="10" t="inlineStr">
        <is>
          <t>中生代 後期三畳紀 ラディニアン期〜後期三畳紀</t>
        </is>
      </c>
      <c r="X56" s="10" t="inlineStr">
        <is>
          <t>Mesozoic Late Triassic Ladinian - Late Triassic</t>
        </is>
      </c>
      <c r="Y56" s="10" t="inlineStr">
        <is>
          <t>海成層 砂岩泥岩互層</t>
        </is>
      </c>
      <c r="Z56" s="10" t="inlineStr">
        <is>
          <t>marine alternation of sandstone &amp;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m200k_NI-52-12_u071</t>
        </is>
      </c>
      <c r="B57" s="6" t="inlineStr">
        <is>
          <t>col_4</t>
        </is>
      </c>
      <c r="C57" s="6" t="n">
        <v>3</v>
      </c>
      <c r="D57" s="7" t="inlineStr">
        <is>
          <t>Triassic Mudstone (Yatsushiro-Nomozaki Mesozoic)</t>
        </is>
      </c>
      <c r="E57" s="5" t="inlineStr">
        <is>
          <t>Yatsushiro-Nomozaki Mesozoic Sedimentary Basin</t>
        </is>
      </c>
      <c r="F57" s="6" t="inlineStr">
        <is>
          <t>Triassic</t>
        </is>
      </c>
      <c r="G57" s="8" t="n">
        <v>201.4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Ladinian</t>
        </is>
      </c>
      <c r="J57" s="8" t="n">
        <v>241.464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mudstone</t>
        </is>
      </c>
      <c r="M57" s="5" t="inlineStr"/>
      <c r="N57" s="5" t="inlineStr">
        <is>
          <t>marine</t>
        </is>
      </c>
      <c r="O57" s="5" t="inlineStr">
        <is>
          <t>Mesozoic Late Triassic Ladinian - Late Triassic; marine mudstone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Tr22-3_som</t>
        </is>
      </c>
      <c r="U57" s="5" t="inlineStr"/>
      <c r="V57" s="10" t="inlineStr">
        <is>
          <t>Tr22-3_som</t>
        </is>
      </c>
      <c r="W57" s="10" t="inlineStr">
        <is>
          <t>中生代 後期三畳紀 ラディニアン期〜後期三畳紀</t>
        </is>
      </c>
      <c r="X57" s="10" t="inlineStr">
        <is>
          <t>Mesozoic Late Triassic Ladinian - Late Triassic</t>
        </is>
      </c>
      <c r="Y57" s="10" t="inlineStr">
        <is>
          <t>海成層 泥岩</t>
        </is>
      </c>
      <c r="Z57" s="10" t="inlineStr">
        <is>
          <t>marine mudstone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Mesozoic Sedimentary Basin</t>
        </is>
      </c>
    </row>
    <row r="58">
      <c r="A58" s="5" t="inlineStr">
        <is>
          <t>m200k_NI-52-12_u059</t>
        </is>
      </c>
      <c r="B58" s="6" t="inlineStr">
        <is>
          <t>col_4</t>
        </is>
      </c>
      <c r="C58" s="6" t="n">
        <v>4</v>
      </c>
      <c r="D58" s="7" t="inlineStr">
        <is>
          <t>Jurassic Conglomerate (Yatsushiro-Nomozaki Mesozoic)</t>
        </is>
      </c>
      <c r="E58" s="5" t="inlineStr">
        <is>
          <t>Yatsushiro-Nomozaki Mesozoic Sedimentary Basin</t>
        </is>
      </c>
      <c r="F58" s="6" t="inlineStr">
        <is>
          <t>Jurassic</t>
        </is>
      </c>
      <c r="G58" s="8" t="n">
        <v>143.1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Jurassic</t>
        </is>
      </c>
      <c r="J58" s="8" t="n">
        <v>201.4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Mesozoic Late Jurassic; marine conglomerate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J3_soc</t>
        </is>
      </c>
      <c r="U58" s="5" t="inlineStr"/>
      <c r="V58" s="10" t="inlineStr">
        <is>
          <t>J3_soc</t>
        </is>
      </c>
      <c r="W58" s="10" t="inlineStr">
        <is>
          <t>中生代 後期ジュラ紀</t>
        </is>
      </c>
      <c r="X58" s="10" t="inlineStr">
        <is>
          <t>Mesozoic Late Jurassic</t>
        </is>
      </c>
      <c r="Y58" s="10" t="inlineStr">
        <is>
          <t>海成層 礫岩</t>
        </is>
      </c>
      <c r="Z58" s="10" t="inlineStr">
        <is>
          <t>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m200k_NI-52-12_u062</t>
        </is>
      </c>
      <c r="B59" s="6" t="inlineStr">
        <is>
          <t>col_4</t>
        </is>
      </c>
      <c r="C59" s="6" t="n">
        <v>5</v>
      </c>
      <c r="D59" s="7" t="inlineStr">
        <is>
          <t>Jurassic Sandstone (Yatsushiro-Nomozaki Mesozoic)</t>
        </is>
      </c>
      <c r="E59" s="5" t="inlineStr">
        <is>
          <t>Yatsushiro-Nomozaki Mesozoic Sedimentary Basin</t>
        </is>
      </c>
      <c r="F59" s="6" t="inlineStr">
        <is>
          <t>Jurassic</t>
        </is>
      </c>
      <c r="G59" s="8" t="n">
        <v>143.1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Jurassic</t>
        </is>
      </c>
      <c r="J59" s="8" t="n">
        <v>201.4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sandstone</t>
        </is>
      </c>
      <c r="M59" s="5" t="inlineStr">
        <is>
          <t>mudstone</t>
        </is>
      </c>
      <c r="N59" s="5" t="inlineStr">
        <is>
          <t>marine</t>
        </is>
      </c>
      <c r="O59" s="5" t="inlineStr">
        <is>
          <t>Mesozoic Late Jurassic; marine alternation of sandstone &amp; mudstone [Mesozoic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J3_sosma</t>
        </is>
      </c>
      <c r="U59" s="5" t="inlineStr"/>
      <c r="V59" s="10" t="inlineStr">
        <is>
          <t>J3_sosma</t>
        </is>
      </c>
      <c r="W59" s="10" t="inlineStr">
        <is>
          <t>中生代 後期ジュラ紀</t>
        </is>
      </c>
      <c r="X59" s="10" t="inlineStr">
        <is>
          <t>Mesozoic Late Jurassic</t>
        </is>
      </c>
      <c r="Y59" s="10" t="inlineStr">
        <is>
          <t>海成層 砂岩泥岩互層</t>
        </is>
      </c>
      <c r="Z59" s="10" t="inlineStr">
        <is>
          <t>marine alternation of sandstone &amp;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Mesozoic Sedimentary Basin</t>
        </is>
      </c>
    </row>
    <row r="60">
      <c r="A60" s="5" t="inlineStr">
        <is>
          <t>m200k_NI-52-12_u063</t>
        </is>
      </c>
      <c r="B60" s="6" t="inlineStr">
        <is>
          <t>col_4</t>
        </is>
      </c>
      <c r="C60" s="6" t="n">
        <v>6</v>
      </c>
      <c r="D60" s="7" t="inlineStr">
        <is>
          <t>Jurassic Limestone (Yatsushiro-Nomozaki Mesozoic)</t>
        </is>
      </c>
      <c r="E60" s="5" t="inlineStr">
        <is>
          <t>Yatsushiro-Nomozaki Mesozoic Sedimentary Basin</t>
        </is>
      </c>
      <c r="F60" s="6" t="inlineStr">
        <is>
          <t>Jurassic</t>
        </is>
      </c>
      <c r="G60" s="8" t="n">
        <v>143.1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Jurassic</t>
        </is>
      </c>
      <c r="J60" s="8" t="n">
        <v>201.4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limestone</t>
        </is>
      </c>
      <c r="M60" s="5" t="inlineStr"/>
      <c r="N60" s="5" t="inlineStr">
        <is>
          <t>marine</t>
        </is>
      </c>
      <c r="O60" s="5" t="inlineStr">
        <is>
          <t>Mesozoic Late Jurassic; marine limestone [Mesozoic Sedimentary Basin]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J3_sol</t>
        </is>
      </c>
      <c r="U60" s="5" t="inlineStr"/>
      <c r="V60" s="10" t="inlineStr">
        <is>
          <t>J3_sol</t>
        </is>
      </c>
      <c r="W60" s="10" t="inlineStr">
        <is>
          <t>中生代 後期ジュラ紀</t>
        </is>
      </c>
      <c r="X60" s="10" t="inlineStr">
        <is>
          <t>Mesozoic Late Jurassic</t>
        </is>
      </c>
      <c r="Y60" s="10" t="inlineStr">
        <is>
          <t>海成層 石灰岩</t>
        </is>
      </c>
      <c r="Z60" s="10" t="inlineStr">
        <is>
          <t>marine limestone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Mesozoic Sedimentary Basin</t>
        </is>
      </c>
    </row>
    <row r="61">
      <c r="A61" s="5" t="inlineStr">
        <is>
          <t>m200k_NI-52-12_u066</t>
        </is>
      </c>
      <c r="B61" s="6" t="inlineStr">
        <is>
          <t>col_4</t>
        </is>
      </c>
      <c r="C61" s="6" t="n">
        <v>7</v>
      </c>
      <c r="D61" s="7" t="inlineStr">
        <is>
          <t>Jurassic Mudstone (Yatsushiro-Nomozaki Mesozoic)</t>
        </is>
      </c>
      <c r="E61" s="5" t="inlineStr">
        <is>
          <t>Yatsushiro-Nomozaki Mesozoic Sedimentary Basin</t>
        </is>
      </c>
      <c r="F61" s="6" t="inlineStr">
        <is>
          <t>Jurassic</t>
        </is>
      </c>
      <c r="G61" s="8" t="n">
        <v>143.1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Jurassic</t>
        </is>
      </c>
      <c r="J61" s="8" t="n">
        <v>201.4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mudstone</t>
        </is>
      </c>
      <c r="M61" s="5" t="inlineStr"/>
      <c r="N61" s="5" t="inlineStr">
        <is>
          <t>marine</t>
        </is>
      </c>
      <c r="O61" s="5" t="inlineStr">
        <is>
          <t>Mesozoic Late Jurassic; marine mudstone [Mesozoic Sedimentary Basin]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J3_som</t>
        </is>
      </c>
      <c r="U61" s="5" t="inlineStr"/>
      <c r="V61" s="10" t="inlineStr">
        <is>
          <t>J3_som</t>
        </is>
      </c>
      <c r="W61" s="10" t="inlineStr">
        <is>
          <t>中生代 後期ジュラ紀</t>
        </is>
      </c>
      <c r="X61" s="10" t="inlineStr">
        <is>
          <t>Mesozoic Late Jurassic</t>
        </is>
      </c>
      <c r="Y61" s="10" t="inlineStr">
        <is>
          <t>海成層 泥岩</t>
        </is>
      </c>
      <c r="Z61" s="10" t="inlineStr">
        <is>
          <t>marine mudstone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Mesozoic Sedimentary Basin</t>
        </is>
      </c>
    </row>
    <row r="62">
      <c r="A62" s="5" t="inlineStr">
        <is>
          <t>m200k_NI-52-12_u057</t>
        </is>
      </c>
      <c r="B62" s="6" t="inlineStr">
        <is>
          <t>col_4</t>
        </is>
      </c>
      <c r="C62" s="6" t="n">
        <v>8</v>
      </c>
      <c r="D62" s="7" t="inlineStr">
        <is>
          <t>Barremian Conglomerate (Yatsushiro-Nomozaki Mesozoic)</t>
        </is>
      </c>
      <c r="E62" s="5" t="inlineStr">
        <is>
          <t>Yatsushiro-Nomozaki Mesozoic Sedimentary Basin</t>
        </is>
      </c>
      <c r="F62" s="6" t="inlineStr">
        <is>
          <t>Barremian</t>
        </is>
      </c>
      <c r="G62" s="8" t="n">
        <v>121.4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Berriasian</t>
        </is>
      </c>
      <c r="J62" s="8" t="n">
        <v>143.1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conglomerate</t>
        </is>
      </c>
      <c r="M62" s="5" t="inlineStr"/>
      <c r="N62" s="5" t="inlineStr">
        <is>
          <t>marine</t>
        </is>
      </c>
      <c r="O62" s="5" t="inlineStr">
        <is>
          <t>Mesozoic Early Cretaceous Berriasian - Barremian; brackish, or marine &amp; non-marine  mixture conglomerate [Mesozoic Sedimentary Basin]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K11_sbc</t>
        </is>
      </c>
      <c r="U62" s="5" t="inlineStr"/>
      <c r="V62" s="10" t="inlineStr">
        <is>
          <t>K11_sbc</t>
        </is>
      </c>
      <c r="W62" s="10" t="inlineStr">
        <is>
          <t>中生代 前期白亜紀 ベリアシアン期〜バレミアン期</t>
        </is>
      </c>
      <c r="X62" s="10" t="inlineStr">
        <is>
          <t>Mesozoic Early Cretaceous Berriasian - Barremian</t>
        </is>
      </c>
      <c r="Y62" s="10" t="inlineStr">
        <is>
          <t>汽水成層ないし海成・非海成混合層 礫岩</t>
        </is>
      </c>
      <c r="Z62" s="10" t="inlineStr">
        <is>
          <t>brackish, or marine &amp; non-marine  mixture conglomerate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Mesozoic Sedimentary Basin</t>
        </is>
      </c>
    </row>
    <row r="63">
      <c r="A63" s="5" t="inlineStr">
        <is>
          <t>m200k_NI-52-12_u058</t>
        </is>
      </c>
      <c r="B63" s="6" t="inlineStr">
        <is>
          <t>col_4</t>
        </is>
      </c>
      <c r="C63" s="6" t="n">
        <v>9</v>
      </c>
      <c r="D63" s="7" t="inlineStr">
        <is>
          <t>Barremian Conglomerate (Yatsushiro-Nomozaki Mesozoic)</t>
        </is>
      </c>
      <c r="E63" s="5" t="inlineStr">
        <is>
          <t>Yatsushiro-Nomozaki Mesozoic Sedimentary Basin</t>
        </is>
      </c>
      <c r="F63" s="6" t="inlineStr">
        <is>
          <t>Barremian</t>
        </is>
      </c>
      <c r="G63" s="8" t="n">
        <v>121.4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Berriasian</t>
        </is>
      </c>
      <c r="J63" s="8" t="n">
        <v>143.1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conglomerate</t>
        </is>
      </c>
      <c r="M63" s="5" t="inlineStr"/>
      <c r="N63" s="5" t="inlineStr">
        <is>
          <t>marine</t>
        </is>
      </c>
      <c r="O63" s="5" t="inlineStr">
        <is>
          <t>Mesozoic Early Cretaceous Berriasian - Barremian; marine conglomerate [Mesozoic Sedimentary Basin]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K11_soc</t>
        </is>
      </c>
      <c r="U63" s="5" t="inlineStr"/>
      <c r="V63" s="10" t="inlineStr">
        <is>
          <t>K11_soc</t>
        </is>
      </c>
      <c r="W63" s="10" t="inlineStr">
        <is>
          <t>中生代 前期白亜紀 ベリアシアン期〜バレミアン期</t>
        </is>
      </c>
      <c r="X63" s="10" t="inlineStr">
        <is>
          <t>Mesozoic Early Cretaceous Berriasian - Barremian</t>
        </is>
      </c>
      <c r="Y63" s="10" t="inlineStr">
        <is>
          <t>海成層 礫岩</t>
        </is>
      </c>
      <c r="Z63" s="10" t="inlineStr">
        <is>
          <t>marine conglomerate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Mesozoic Sedimentary Basin</t>
        </is>
      </c>
    </row>
    <row r="64">
      <c r="A64" s="5" t="inlineStr">
        <is>
          <t>m200k_NI-52-12_u067</t>
        </is>
      </c>
      <c r="B64" s="6" t="inlineStr">
        <is>
          <t>col_4</t>
        </is>
      </c>
      <c r="C64" s="6" t="n">
        <v>10</v>
      </c>
      <c r="D64" s="7" t="inlineStr">
        <is>
          <t>Barremian Mudstone (Yatsushiro-Nomozaki Mesozoic)</t>
        </is>
      </c>
      <c r="E64" s="5" t="inlineStr">
        <is>
          <t>Yatsushiro-Nomozaki Mesozoic Sedimentary Basin</t>
        </is>
      </c>
      <c r="F64" s="6" t="inlineStr">
        <is>
          <t>Barremian</t>
        </is>
      </c>
      <c r="G64" s="8" t="n">
        <v>121.4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Berriasian</t>
        </is>
      </c>
      <c r="J64" s="8" t="n">
        <v>143.1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Mesozoic Early Cretaceous Berriasian - Barremian; marine mudstone [Mesozoic Sedimentary Basin]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K11_som</t>
        </is>
      </c>
      <c r="U64" s="5" t="inlineStr"/>
      <c r="V64" s="10" t="inlineStr">
        <is>
          <t>K11_som</t>
        </is>
      </c>
      <c r="W64" s="10" t="inlineStr">
        <is>
          <t>中生代 前期白亜紀 ベリアシアン期〜バレミアン期</t>
        </is>
      </c>
      <c r="X64" s="10" t="inlineStr">
        <is>
          <t>Mesozoic Early Cretaceous Berriasian - Barremian</t>
        </is>
      </c>
      <c r="Y64" s="10" t="inlineStr">
        <is>
          <t>海成層 泥岩</t>
        </is>
      </c>
      <c r="Z64" s="10" t="inlineStr">
        <is>
          <t>marine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Mesozoic Sedimentary Basin</t>
        </is>
      </c>
    </row>
    <row r="65">
      <c r="A65" s="5" t="inlineStr">
        <is>
          <t>m200k_NI-52-12_u056</t>
        </is>
      </c>
      <c r="B65" s="6" t="inlineStr">
        <is>
          <t>col_4</t>
        </is>
      </c>
      <c r="C65" s="6" t="n">
        <v>11</v>
      </c>
      <c r="D65" s="7" t="inlineStr">
        <is>
          <t>Albian Sandstone (Yatsushiro-Nomozaki Mesozoic)</t>
        </is>
      </c>
      <c r="E65" s="5" t="inlineStr">
        <is>
          <t>Yatsushiro-Nomozaki Mesozoic Sedimentary Basin</t>
        </is>
      </c>
      <c r="F65" s="6" t="inlineStr">
        <is>
          <t>Albian</t>
        </is>
      </c>
      <c r="G65" s="8" t="n">
        <v>100.5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Aptian</t>
        </is>
      </c>
      <c r="J65" s="8" t="n">
        <v>121.4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Mesozoic Early Cretaceous Aptian - Albian; marine alternation of sandstone &amp; mudstone [Mesozoic Sedimentary Basin]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K12_sosma</t>
        </is>
      </c>
      <c r="U65" s="5" t="inlineStr"/>
      <c r="V65" s="10" t="inlineStr">
        <is>
          <t>K12_sosma</t>
        </is>
      </c>
      <c r="W65" s="10" t="inlineStr">
        <is>
          <t>中生代 前期白亜紀 アプチアン期〜アルビアン期</t>
        </is>
      </c>
      <c r="X65" s="10" t="inlineStr">
        <is>
          <t>Mesozoic Early Cretaceous Aptian - Albian</t>
        </is>
      </c>
      <c r="Y65" s="10" t="inlineStr">
        <is>
          <t>海成層 砂岩泥岩互層</t>
        </is>
      </c>
      <c r="Z65" s="10" t="inlineStr">
        <is>
          <t>marine alternation of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Mesozoic Sedimentary Basin</t>
        </is>
      </c>
    </row>
    <row r="66">
      <c r="A66" s="5" t="inlineStr">
        <is>
          <t>m200k_NI-52-12_u060</t>
        </is>
      </c>
      <c r="B66" s="6" t="inlineStr">
        <is>
          <t>col_4</t>
        </is>
      </c>
      <c r="C66" s="6" t="n">
        <v>12</v>
      </c>
      <c r="D66" s="7" t="inlineStr">
        <is>
          <t>Albian Tonalite (Yatsushiro-Nomozaki Mesozoic)</t>
        </is>
      </c>
      <c r="E66" s="5" t="inlineStr">
        <is>
          <t>Yatsushiro-Nomozaki Mesozoic Sedimentary Basin</t>
        </is>
      </c>
      <c r="F66" s="6" t="inlineStr">
        <is>
          <t>Albian</t>
        </is>
      </c>
      <c r="G66" s="8" t="n">
        <v>100.5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Aptian</t>
        </is>
      </c>
      <c r="J66" s="8" t="n">
        <v>121.4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tonalite</t>
        </is>
      </c>
      <c r="M66" s="5" t="inlineStr"/>
      <c r="N66" s="5" t="inlineStr">
        <is>
          <t>unknown</t>
        </is>
      </c>
      <c r="O66" s="5" t="inlineStr">
        <is>
          <t>Mesozoic Early Cretaceous Aptian - Albian; mssive granodiolite &amp; tonalite island arc &amp; continental [Mesozoic Sedimentary Basin]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K12_pim_a</t>
        </is>
      </c>
      <c r="U66" s="5" t="inlineStr"/>
      <c r="V66" s="10" t="inlineStr">
        <is>
          <t>K12_pim_a</t>
        </is>
      </c>
      <c r="W66" s="10" t="inlineStr">
        <is>
          <t>中生代 前期白亜紀 アプチアン期〜アルビアン期</t>
        </is>
      </c>
      <c r="X66" s="10" t="inlineStr">
        <is>
          <t>Mesozoic Early Cretaceous Aptian - Albian</t>
        </is>
      </c>
      <c r="Y66" s="10" t="inlineStr">
        <is>
          <t>花崗閃緑岩・トーナル岩 塊状 島弧・大陸</t>
        </is>
      </c>
      <c r="Z66" s="10" t="inlineStr">
        <is>
          <t>mssive granodiolite &amp; tonalite island arc &amp; continental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Mesozoic Sedimentary Basin</t>
        </is>
      </c>
    </row>
    <row r="67">
      <c r="A67" s="5" t="inlineStr">
        <is>
          <t>m200k_NI-52-12_u064</t>
        </is>
      </c>
      <c r="B67" s="6" t="inlineStr">
        <is>
          <t>col_4</t>
        </is>
      </c>
      <c r="C67" s="6" t="n">
        <v>13</v>
      </c>
      <c r="D67" s="7" t="inlineStr">
        <is>
          <t>Albian Mudstone (Yatsushiro-Nomozaki Mesozoic)</t>
        </is>
      </c>
      <c r="E67" s="5" t="inlineStr">
        <is>
          <t>Yatsushiro-Nomozaki Mesozoic Sedimentary Basin</t>
        </is>
      </c>
      <c r="F67" s="6" t="inlineStr">
        <is>
          <t>Albian</t>
        </is>
      </c>
      <c r="G67" s="8" t="n">
        <v>100.5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Aptian</t>
        </is>
      </c>
      <c r="J67" s="8" t="n">
        <v>121.4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mudstone</t>
        </is>
      </c>
      <c r="M67" s="5" t="inlineStr"/>
      <c r="N67" s="5" t="inlineStr">
        <is>
          <t>marine</t>
        </is>
      </c>
      <c r="O67" s="5" t="inlineStr">
        <is>
          <t>Mesozoic Early Cretaceous Aptian - Albian; marine mudstone [Mesozoic Sedimentary Basin]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K12_som</t>
        </is>
      </c>
      <c r="U67" s="5" t="inlineStr"/>
      <c r="V67" s="10" t="inlineStr">
        <is>
          <t>K12_som</t>
        </is>
      </c>
      <c r="W67" s="10" t="inlineStr">
        <is>
          <t>中生代 前期白亜紀 アプチアン期〜アルビアン期</t>
        </is>
      </c>
      <c r="X67" s="10" t="inlineStr">
        <is>
          <t>Mesozoic Early Cretaceous Aptian - Albian</t>
        </is>
      </c>
      <c r="Y67" s="10" t="inlineStr">
        <is>
          <t>海成層 泥岩</t>
        </is>
      </c>
      <c r="Z67" s="10" t="inlineStr">
        <is>
          <t>marine mudstone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Mesozoic Sedimentary Basin</t>
        </is>
      </c>
    </row>
    <row r="68">
      <c r="A68" s="5" t="inlineStr">
        <is>
          <t>m200k_NI-52-12_u068</t>
        </is>
      </c>
      <c r="B68" s="6" t="inlineStr">
        <is>
          <t>col_4</t>
        </is>
      </c>
      <c r="C68" s="6" t="n">
        <v>14</v>
      </c>
      <c r="D68" s="7" t="inlineStr">
        <is>
          <t>Albian Conglomerate (Yatsushiro-Nomozaki Mesozoic)</t>
        </is>
      </c>
      <c r="E68" s="5" t="inlineStr">
        <is>
          <t>Yatsushiro-Nomozaki Mesozoic Sedimentary Basin</t>
        </is>
      </c>
      <c r="F68" s="6" t="inlineStr">
        <is>
          <t>Albian</t>
        </is>
      </c>
      <c r="G68" s="8" t="n">
        <v>100.5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Aptian</t>
        </is>
      </c>
      <c r="J68" s="8" t="n">
        <v>121.4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conglomerate</t>
        </is>
      </c>
      <c r="M68" s="5" t="inlineStr"/>
      <c r="N68" s="5" t="inlineStr">
        <is>
          <t>marine</t>
        </is>
      </c>
      <c r="O68" s="5" t="inlineStr">
        <is>
          <t>Mesozoic Early Cretaceous Aptian - Albian; marine conglomerate [Mesozoic Sedimentary Basin]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K12_soc</t>
        </is>
      </c>
      <c r="U68" s="5" t="inlineStr"/>
      <c r="V68" s="10" t="inlineStr">
        <is>
          <t>K12_soc</t>
        </is>
      </c>
      <c r="W68" s="10" t="inlineStr">
        <is>
          <t>中生代 前期白亜紀 アプチアン期〜アルビアン期</t>
        </is>
      </c>
      <c r="X68" s="10" t="inlineStr">
        <is>
          <t>Mesozoic Early Cretaceous Aptian - Albian</t>
        </is>
      </c>
      <c r="Y68" s="10" t="inlineStr">
        <is>
          <t>海成層 礫岩</t>
        </is>
      </c>
      <c r="Z68" s="10" t="inlineStr">
        <is>
          <t>marine conglomerate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Mesozoic Sedimentary Basin</t>
        </is>
      </c>
    </row>
    <row r="69">
      <c r="A69" s="5" t="inlineStr">
        <is>
          <t>m200k_NI-52-12_u069</t>
        </is>
      </c>
      <c r="B69" s="6" t="inlineStr">
        <is>
          <t>col_4</t>
        </is>
      </c>
      <c r="C69" s="6" t="n">
        <v>15</v>
      </c>
      <c r="D69" s="7" t="inlineStr">
        <is>
          <t>Albian Sandstone (Yatsushiro-Nomozaki Mesozoic)</t>
        </is>
      </c>
      <c r="E69" s="5" t="inlineStr">
        <is>
          <t>Yatsushiro-Nomozaki Mesozoic Sedimentary Basin</t>
        </is>
      </c>
      <c r="F69" s="6" t="inlineStr">
        <is>
          <t>Albian</t>
        </is>
      </c>
      <c r="G69" s="8" t="n">
        <v>100.5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Aptian</t>
        </is>
      </c>
      <c r="J69" s="8" t="n">
        <v>121.4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sandstone</t>
        </is>
      </c>
      <c r="M69" s="5" t="inlineStr"/>
      <c r="N69" s="5" t="inlineStr">
        <is>
          <t>marine</t>
        </is>
      </c>
      <c r="O69" s="5" t="inlineStr">
        <is>
          <t>Mesozoic Early Cretaceous Aptian - Albian; marine sandstone [Mesozoic Sedimentary Basin]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K12_soss</t>
        </is>
      </c>
      <c r="U69" s="5" t="inlineStr"/>
      <c r="V69" s="10" t="inlineStr">
        <is>
          <t>K12_soss</t>
        </is>
      </c>
      <c r="W69" s="10" t="inlineStr">
        <is>
          <t>中生代 前期白亜紀 アプチアン期〜アルビアン期</t>
        </is>
      </c>
      <c r="X69" s="10" t="inlineStr">
        <is>
          <t>Mesozoic Early Cretaceous Aptian - Albian</t>
        </is>
      </c>
      <c r="Y69" s="10" t="inlineStr">
        <is>
          <t>海成層 砂岩</t>
        </is>
      </c>
      <c r="Z69" s="10" t="inlineStr">
        <is>
          <t>marine sandstone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Mesozoic Sedimentary Basin</t>
        </is>
      </c>
    </row>
    <row r="70">
      <c r="A70" s="5" t="inlineStr">
        <is>
          <t>m200k_NI-52-12_u054</t>
        </is>
      </c>
      <c r="B70" s="6" t="inlineStr">
        <is>
          <t>col_4</t>
        </is>
      </c>
      <c r="C70" s="6" t="n">
        <v>16</v>
      </c>
      <c r="D70" s="7" t="inlineStr">
        <is>
          <t>Santonian Conglomerate (Yatsushiro-Nomozaki Mesozoic)</t>
        </is>
      </c>
      <c r="E70" s="5" t="inlineStr">
        <is>
          <t>Yatsushiro-Nomozaki Mesozoic Sedimentary Basin</t>
        </is>
      </c>
      <c r="F70" s="6" t="inlineStr">
        <is>
          <t>Santonian</t>
        </is>
      </c>
      <c r="G70" s="8" t="n">
        <v>83.59999999999999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Cenomanian</t>
        </is>
      </c>
      <c r="J70" s="8" t="n">
        <v>100.5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conglomerate</t>
        </is>
      </c>
      <c r="M70" s="5" t="inlineStr"/>
      <c r="N70" s="5" t="inlineStr">
        <is>
          <t>marine</t>
        </is>
      </c>
      <c r="O70" s="5" t="inlineStr">
        <is>
          <t>Mesozoic Late Cretaceous Cenomanian - Santonian; marine conglomerate [Mesozoic Sedimentary Basin]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K21_soc</t>
        </is>
      </c>
      <c r="U70" s="5" t="inlineStr"/>
      <c r="V70" s="10" t="inlineStr">
        <is>
          <t>K21_soc</t>
        </is>
      </c>
      <c r="W70" s="10" t="inlineStr">
        <is>
          <t>中生代 後期白亜紀 セノマニアン期〜サントニアン期</t>
        </is>
      </c>
      <c r="X70" s="10" t="inlineStr">
        <is>
          <t>Mesozoic Late Cretaceous Cenomanian - Santonian</t>
        </is>
      </c>
      <c r="Y70" s="10" t="inlineStr">
        <is>
          <t>海成層 礫岩</t>
        </is>
      </c>
      <c r="Z70" s="10" t="inlineStr">
        <is>
          <t>marine conglomerate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Mesozoic Sedimentary Basin</t>
        </is>
      </c>
    </row>
    <row r="71">
      <c r="A71" s="5" t="inlineStr">
        <is>
          <t>m200k_NI-52-12_u055</t>
        </is>
      </c>
      <c r="B71" s="6" t="inlineStr">
        <is>
          <t>col_4</t>
        </is>
      </c>
      <c r="C71" s="6" t="n">
        <v>17</v>
      </c>
      <c r="D71" s="7" t="inlineStr">
        <is>
          <t>Santonian Sandstone (Yatsushiro-Nomozaki Mesozoic)</t>
        </is>
      </c>
      <c r="E71" s="5" t="inlineStr">
        <is>
          <t>Yatsushiro-Nomozaki Mesozoic Sedimentary Basin</t>
        </is>
      </c>
      <c r="F71" s="6" t="inlineStr">
        <is>
          <t>Santonian</t>
        </is>
      </c>
      <c r="G71" s="8" t="n">
        <v>83.59999999999999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Cenomanian</t>
        </is>
      </c>
      <c r="J71" s="8" t="n">
        <v>100.5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sandstone</t>
        </is>
      </c>
      <c r="M71" s="5" t="inlineStr"/>
      <c r="N71" s="5" t="inlineStr">
        <is>
          <t>marine</t>
        </is>
      </c>
      <c r="O71" s="5" t="inlineStr">
        <is>
          <t>Mesozoic Late Cretaceous Cenomanian - Santonian; marine sandstone [Mesozoic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K21_soss</t>
        </is>
      </c>
      <c r="U71" s="5" t="inlineStr"/>
      <c r="V71" s="10" t="inlineStr">
        <is>
          <t>K21_soss</t>
        </is>
      </c>
      <c r="W71" s="10" t="inlineStr">
        <is>
          <t>中生代 後期白亜紀 セノマニアン期〜サントニアン期</t>
        </is>
      </c>
      <c r="X71" s="10" t="inlineStr">
        <is>
          <t>Mesozoic Late Cretaceous Cenomanian - Santonian</t>
        </is>
      </c>
      <c r="Y71" s="10" t="inlineStr">
        <is>
          <t>海成層 砂岩</t>
        </is>
      </c>
      <c r="Z71" s="10" t="inlineStr">
        <is>
          <t>marine sandstone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Mesozoic Sedimentary Basin</t>
        </is>
      </c>
    </row>
    <row r="72">
      <c r="A72" s="5" t="inlineStr">
        <is>
          <t>m200k_NI-52-12_u061</t>
        </is>
      </c>
      <c r="B72" s="6" t="inlineStr">
        <is>
          <t>col_4</t>
        </is>
      </c>
      <c r="C72" s="6" t="n">
        <v>18</v>
      </c>
      <c r="D72" s="7" t="inlineStr">
        <is>
          <t>Santonian Sandstone (Yatsushiro-Nomozaki Mesozoic)</t>
        </is>
      </c>
      <c r="E72" s="5" t="inlineStr">
        <is>
          <t>Yatsushiro-Nomozaki Mesozoic Sedimentary Basin</t>
        </is>
      </c>
      <c r="F72" s="6" t="inlineStr">
        <is>
          <t>Santonian</t>
        </is>
      </c>
      <c r="G72" s="8" t="n">
        <v>83.59999999999999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Cenomanian</t>
        </is>
      </c>
      <c r="J72" s="8" t="n">
        <v>100.5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sandstone</t>
        </is>
      </c>
      <c r="M72" s="5" t="inlineStr">
        <is>
          <t>mudstone</t>
        </is>
      </c>
      <c r="N72" s="5" t="inlineStr">
        <is>
          <t>marine</t>
        </is>
      </c>
      <c r="O72" s="5" t="inlineStr">
        <is>
          <t>Mesozoic Late Cretaceous Cenomanian - Santonian; marine alternation of sandstone &amp; mudstone [Mesozoic Sedimentary Basin]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K21_sosma</t>
        </is>
      </c>
      <c r="U72" s="5" t="inlineStr"/>
      <c r="V72" s="10" t="inlineStr">
        <is>
          <t>K21_sosma</t>
        </is>
      </c>
      <c r="W72" s="10" t="inlineStr">
        <is>
          <t>中生代 後期白亜紀 セノマニアン期〜サントニアン期</t>
        </is>
      </c>
      <c r="X72" s="10" t="inlineStr">
        <is>
          <t>Mesozoic Late Cretaceous Cenomanian - Santonian</t>
        </is>
      </c>
      <c r="Y72" s="10" t="inlineStr">
        <is>
          <t>海成層 砂岩泥岩互層</t>
        </is>
      </c>
      <c r="Z72" s="10" t="inlineStr">
        <is>
          <t>marine alternation of sandstone &amp; mudstone</t>
        </is>
      </c>
      <c r="AA72" s="10" t="inlineStr">
        <is>
          <t>堆積岩</t>
        </is>
      </c>
      <c r="AB72" s="10" t="inlineStr">
        <is>
          <t>Sedimentary rocks</t>
        </is>
      </c>
      <c r="AC72" s="10" t="inlineStr">
        <is>
          <t>Mesozoic Sedimentary Basin</t>
        </is>
      </c>
    </row>
    <row r="73">
      <c r="A73" s="5" t="inlineStr">
        <is>
          <t>m200k_NI-52-12_u076</t>
        </is>
      </c>
      <c r="B73" s="6" t="inlineStr">
        <is>
          <t>col_5</t>
        </is>
      </c>
      <c r="C73" s="6" t="n">
        <v>1</v>
      </c>
      <c r="D73" s="7" t="inlineStr">
        <is>
          <t>Cisuralian Basalt (Yatsushiro-Nomozaki Accretionary)</t>
        </is>
      </c>
      <c r="E73" s="5" t="inlineStr">
        <is>
          <t>Yatsushiro-Nomozaki Accretionary Complex</t>
        </is>
      </c>
      <c r="F73" s="6" t="inlineStr">
        <is>
          <t>Cisuralian</t>
        </is>
      </c>
      <c r="G73" s="8" t="n">
        <v>274.4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Serpukhovian</t>
        </is>
      </c>
      <c r="J73" s="8" t="n">
        <v>330.3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basalt</t>
        </is>
      </c>
      <c r="M73" s="5" t="inlineStr"/>
      <c r="N73" s="5" t="inlineStr">
        <is>
          <t>marine</t>
        </is>
      </c>
      <c r="O73" s="5" t="inlineStr">
        <is>
          <t>Paleozoic Carboniferous Pennsylvanian Serpukhovian - Permian Cisuralian; basalt oceanic middle to late Permian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C13-P1_vbs_o_P2</t>
        </is>
      </c>
      <c r="U73" s="5" t="inlineStr"/>
      <c r="V73" s="10" t="inlineStr">
        <is>
          <t>C13-P1_vbs_o_P2</t>
        </is>
      </c>
      <c r="W73" s="10" t="inlineStr">
        <is>
          <t>古生代 石炭紀 ペンシルバニアン亜紀 後期ミシシッピアン亜紀〜ペルム紀 シスウラリアン世</t>
        </is>
      </c>
      <c r="X73" s="10" t="inlineStr">
        <is>
          <t>Paleozoic Carboniferous Pennsylvanian Serpukhovian - Permian Cisuralian</t>
        </is>
      </c>
      <c r="Y73" s="10" t="inlineStr">
        <is>
          <t>玄武岩 海洋 中期-後期ペルム紀付加体</t>
        </is>
      </c>
      <c r="Z73" s="10" t="inlineStr">
        <is>
          <t>basalt oceanic middle to late Permian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m200k_NI-52-12_u081</t>
        </is>
      </c>
      <c r="B74" s="6" t="inlineStr">
        <is>
          <t>col_5</t>
        </is>
      </c>
      <c r="C74" s="6" t="n">
        <v>2</v>
      </c>
      <c r="D74" s="7" t="inlineStr">
        <is>
          <t>Cisuralian Basalt (Yatsushiro-Nomozaki Accretionary)</t>
        </is>
      </c>
      <c r="E74" s="5" t="inlineStr">
        <is>
          <t>Yatsushiro-Nomozaki Accretionary Complex</t>
        </is>
      </c>
      <c r="F74" s="6" t="inlineStr">
        <is>
          <t>Cisuralian</t>
        </is>
      </c>
      <c r="G74" s="8" t="n">
        <v>274.4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Serpukhovian</t>
        </is>
      </c>
      <c r="J74" s="8" t="n">
        <v>330.3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basalt</t>
        </is>
      </c>
      <c r="M74" s="5" t="inlineStr"/>
      <c r="N74" s="5" t="inlineStr">
        <is>
          <t>marine</t>
        </is>
      </c>
      <c r="O74" s="5" t="inlineStr">
        <is>
          <t>Paleozoic Carboniferous Pennsylvanian Serpukhovian - Permian Cisuralian; basalt oceanic Early to Middle Jurassic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C13-P1_vbs_o_J1</t>
        </is>
      </c>
      <c r="U74" s="5" t="inlineStr"/>
      <c r="V74" s="10" t="inlineStr">
        <is>
          <t>C13-P1_vbs_o_J1</t>
        </is>
      </c>
      <c r="W74" s="10" t="inlineStr">
        <is>
          <t>古生代 石炭紀 ペンシルバニアン亜紀 後期ミシシッピアン亜紀〜ペルム紀 シスウラリアン世</t>
        </is>
      </c>
      <c r="X74" s="10" t="inlineStr">
        <is>
          <t>Paleozoic Carboniferous Pennsylvanian Serpukhovian - Permian Cisuralian</t>
        </is>
      </c>
      <c r="Y74" s="10" t="inlineStr">
        <is>
          <t>玄武岩 海洋 前期-中期ジュラ紀付加体</t>
        </is>
      </c>
      <c r="Z74" s="10" t="inlineStr">
        <is>
          <t>basalt oceanic Early to Middle Jurassic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m200k_NI-52-12_u100</t>
        </is>
      </c>
      <c r="B75" s="6" t="inlineStr">
        <is>
          <t>col_5</t>
        </is>
      </c>
      <c r="C75" s="6" t="n">
        <v>3</v>
      </c>
      <c r="D75" s="7" t="inlineStr">
        <is>
          <t>Guadalupian Chert (Yatsushiro-Nomozaki Accretionary)</t>
        </is>
      </c>
      <c r="E75" s="5" t="inlineStr">
        <is>
          <t>Yatsushiro-Nomozaki Accretionary Complex</t>
        </is>
      </c>
      <c r="F75" s="6" t="inlineStr">
        <is>
          <t>Guadalupian</t>
        </is>
      </c>
      <c r="G75" s="8" t="n">
        <v>259.51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Serpukhovian</t>
        </is>
      </c>
      <c r="J75" s="8" t="n">
        <v>330.3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chert</t>
        </is>
      </c>
      <c r="M75" s="5" t="inlineStr"/>
      <c r="N75" s="5" t="inlineStr">
        <is>
          <t>marine</t>
        </is>
      </c>
      <c r="O75" s="5" t="inlineStr">
        <is>
          <t>Paleozoic Carboniferous Pennsylvanian Serpukhovian - Permian Guadalupian; chert middle to late Permian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C13-P2_soh_P2</t>
        </is>
      </c>
      <c r="U75" s="5" t="inlineStr"/>
      <c r="V75" s="10" t="inlineStr">
        <is>
          <t>C13-P2_soh_P2</t>
        </is>
      </c>
      <c r="W75" s="10" t="inlineStr">
        <is>
          <t>古生代 石炭紀 ペンシルバニアン亜紀 後期ミシシッピアン亜紀〜ペルム紀 グアダルピアン世</t>
        </is>
      </c>
      <c r="X75" s="10" t="inlineStr">
        <is>
          <t>Paleozoic Carboniferous Pennsylvanian Serpukhovian - Permian Guadalupian</t>
        </is>
      </c>
      <c r="Y75" s="10" t="inlineStr">
        <is>
          <t>チャート 中期-後期ペルム紀付加体</t>
        </is>
      </c>
      <c r="Z75" s="10" t="inlineStr">
        <is>
          <t>chert middle to late Permian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m200k_NI-52-12_u082</t>
        </is>
      </c>
      <c r="B76" s="6" t="inlineStr">
        <is>
          <t>col_5</t>
        </is>
      </c>
      <c r="C76" s="6" t="n">
        <v>4</v>
      </c>
      <c r="D76" s="7" t="inlineStr">
        <is>
          <t>Norian Basalt (Yatsushiro-Nomozaki Accretionary)</t>
        </is>
      </c>
      <c r="E76" s="5" t="inlineStr">
        <is>
          <t>Yatsushiro-Nomozaki Accretionary Complex</t>
        </is>
      </c>
      <c r="F76" s="6" t="inlineStr">
        <is>
          <t>Norian</t>
        </is>
      </c>
      <c r="G76" s="8" t="n">
        <v>205.7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Serpukhovian</t>
        </is>
      </c>
      <c r="J76" s="8" t="n">
        <v>330.3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basalt</t>
        </is>
      </c>
      <c r="M76" s="5" t="inlineStr"/>
      <c r="N76" s="5" t="inlineStr">
        <is>
          <t>marine</t>
        </is>
      </c>
      <c r="O76" s="5" t="inlineStr">
        <is>
          <t>Paleozoic Carboniferous Pennsylvanian Serpukhovian - Mesozoic Late Triassic Norian; basalt oceanic Middle to Late Jurassic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C13-Tr32_vbs_o_J2</t>
        </is>
      </c>
      <c r="U76" s="5" t="inlineStr"/>
      <c r="V76" s="10" t="inlineStr">
        <is>
          <t>C13-Tr32_vbs_o_J2</t>
        </is>
      </c>
      <c r="W76" s="10" t="inlineStr">
        <is>
          <t>古生代 石炭紀 ペンシルバニアン亜紀 後期ミシシッピアン亜紀〜中生代 後期三畳紀 ノーリアン期</t>
        </is>
      </c>
      <c r="X76" s="10" t="inlineStr">
        <is>
          <t>Paleozoic Carboniferous Pennsylvanian Serpukhovian - Mesozoic Late Triassic Norian</t>
        </is>
      </c>
      <c r="Y76" s="10" t="inlineStr">
        <is>
          <t>玄武岩 海洋 中期-後期ジュラ紀付加体</t>
        </is>
      </c>
      <c r="Z76" s="10" t="inlineStr">
        <is>
          <t>basalt oceanic Middle to Late Jurassic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m200k_NI-52-12_u083</t>
        </is>
      </c>
      <c r="B77" s="6" t="inlineStr">
        <is>
          <t>col_5</t>
        </is>
      </c>
      <c r="C77" s="6" t="n">
        <v>5</v>
      </c>
      <c r="D77" s="7" t="inlineStr">
        <is>
          <t>Norian Limestone (Yatsushiro-Nomozaki Accretionary)</t>
        </is>
      </c>
      <c r="E77" s="5" t="inlineStr">
        <is>
          <t>Yatsushiro-Nomozaki Accretionary Complex</t>
        </is>
      </c>
      <c r="F77" s="6" t="inlineStr">
        <is>
          <t>Norian</t>
        </is>
      </c>
      <c r="G77" s="8" t="n">
        <v>205.7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Serpukhovian</t>
        </is>
      </c>
      <c r="J77" s="8" t="n">
        <v>330.3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limestone</t>
        </is>
      </c>
      <c r="M77" s="5" t="inlineStr"/>
      <c r="N77" s="5" t="inlineStr">
        <is>
          <t>marine</t>
        </is>
      </c>
      <c r="O77" s="5" t="inlineStr">
        <is>
          <t>Paleozoic Carboniferous Pennsylvanian Serpukhovian - Mesozoic Late Triassic Norian; marine limestone Middle to Late Jurassic accretionary complex [Accretionary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C13-Tr32_sol_J2</t>
        </is>
      </c>
      <c r="U77" s="5" t="inlineStr"/>
      <c r="V77" s="10" t="inlineStr">
        <is>
          <t>C13-Tr32_sol_J2</t>
        </is>
      </c>
      <c r="W77" s="10" t="inlineStr">
        <is>
          <t>古生代 石炭紀 ペンシルバニアン亜紀 後期ミシシッピアン亜紀〜中生代 後期三畳紀 ノーリアン期</t>
        </is>
      </c>
      <c r="X77" s="10" t="inlineStr">
        <is>
          <t>Paleozoic Carboniferous Pennsylvanian Serpukhovian - Mesozoic Late Triassic Norian</t>
        </is>
      </c>
      <c r="Y77" s="10" t="inlineStr">
        <is>
          <t>海成層 石灰岩 中期-後期ジュラ紀付加体</t>
        </is>
      </c>
      <c r="Z77" s="10" t="inlineStr">
        <is>
          <t>marine limestone Middle to Late Jurassic accretionary complex</t>
        </is>
      </c>
      <c r="AA77" s="10" t="inlineStr">
        <is>
          <t>付加体</t>
        </is>
      </c>
      <c r="AB77" s="10" t="inlineStr">
        <is>
          <t>Accretionary complexes</t>
        </is>
      </c>
      <c r="AC77" s="10" t="inlineStr">
        <is>
          <t>Accretionary Complex</t>
        </is>
      </c>
    </row>
    <row r="78">
      <c r="A78" s="5" t="inlineStr">
        <is>
          <t>m200k_NI-52-12_u079</t>
        </is>
      </c>
      <c r="B78" s="6" t="inlineStr">
        <is>
          <t>col_5</t>
        </is>
      </c>
      <c r="C78" s="6" t="n">
        <v>6</v>
      </c>
      <c r="D78" s="7" t="inlineStr">
        <is>
          <t>Triassic Limestone (Yatsushiro-Nomozaki Accretionary)</t>
        </is>
      </c>
      <c r="E78" s="5" t="inlineStr">
        <is>
          <t>Yatsushiro-Nomozaki Accretionary Complex</t>
        </is>
      </c>
      <c r="F78" s="6" t="inlineStr">
        <is>
          <t>Triassic</t>
        </is>
      </c>
      <c r="G78" s="8" t="n">
        <v>201.4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Serpukhovian</t>
        </is>
      </c>
      <c r="J78" s="8" t="n">
        <v>330.3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limestone</t>
        </is>
      </c>
      <c r="M78" s="5" t="inlineStr"/>
      <c r="N78" s="5" t="inlineStr">
        <is>
          <t>marine</t>
        </is>
      </c>
      <c r="O78" s="5" t="inlineStr">
        <is>
          <t>Paleozoic Carboniferous Pennsylvanian Serpukhovian - Mesozoic Triassic; marine limestone Early to Middle Jurassic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C13-Tr_sol_J1</t>
        </is>
      </c>
      <c r="U78" s="5" t="inlineStr"/>
      <c r="V78" s="10" t="inlineStr">
        <is>
          <t>C13-Tr_sol_J1</t>
        </is>
      </c>
      <c r="W78" s="10" t="inlineStr">
        <is>
          <t>古生代 石炭紀 ペンシルバニアン亜紀 後期ミシシッピアン亜紀〜中生代 三畳紀</t>
        </is>
      </c>
      <c r="X78" s="10" t="inlineStr">
        <is>
          <t>Paleozoic Carboniferous Pennsylvanian Serpukhovian - Mesozoic Triassic</t>
        </is>
      </c>
      <c r="Y78" s="10" t="inlineStr">
        <is>
          <t>海成層 石灰岩 前期-中期ジュラ紀付加体</t>
        </is>
      </c>
      <c r="Z78" s="10" t="inlineStr">
        <is>
          <t>marine limestone Early to Middle Jurassic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m200k_NI-52-12_u073</t>
        </is>
      </c>
      <c r="B79" s="6" t="inlineStr">
        <is>
          <t>col_5</t>
        </is>
      </c>
      <c r="C79" s="6" t="n">
        <v>7</v>
      </c>
      <c r="D79" s="7" t="inlineStr">
        <is>
          <t>Lopingian Sandstone (Yatsushiro-Nomozaki Accretionary)</t>
        </is>
      </c>
      <c r="E79" s="5" t="inlineStr">
        <is>
          <t>Yatsushiro-Nomozaki Accretionary Complex</t>
        </is>
      </c>
      <c r="F79" s="6" t="inlineStr">
        <is>
          <t>Lopingian</t>
        </is>
      </c>
      <c r="G79" s="8" t="n">
        <v>251.902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Guadalupian</t>
        </is>
      </c>
      <c r="J79" s="8" t="n">
        <v>274.4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sandstone</t>
        </is>
      </c>
      <c r="M79" s="5" t="inlineStr"/>
      <c r="N79" s="5" t="inlineStr">
        <is>
          <t>marine</t>
        </is>
      </c>
      <c r="O79" s="5" t="inlineStr">
        <is>
          <t>Paleozoic Permian Guadalupian - Lopingian; marine sandstone middle to late Permian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P2-3_soss_P2</t>
        </is>
      </c>
      <c r="U79" s="5" t="inlineStr"/>
      <c r="V79" s="10" t="inlineStr">
        <is>
          <t>P2-3_soss_P2</t>
        </is>
      </c>
      <c r="W79" s="10" t="inlineStr">
        <is>
          <t>古生代 ペルム紀 グアダルピアン世〜ローピンジアン世</t>
        </is>
      </c>
      <c r="X79" s="10" t="inlineStr">
        <is>
          <t>Paleozoic Permian Guadalupian - Lopingian</t>
        </is>
      </c>
      <c r="Y79" s="10" t="inlineStr">
        <is>
          <t>海成層 砂岩 中期-後期ペルム紀付加体</t>
        </is>
      </c>
      <c r="Z79" s="10" t="inlineStr">
        <is>
          <t>marine sandstone middle to late Permian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m200k_NI-52-12_u075</t>
        </is>
      </c>
      <c r="B80" s="6" t="inlineStr">
        <is>
          <t>col_5</t>
        </is>
      </c>
      <c r="C80" s="6" t="n">
        <v>8</v>
      </c>
      <c r="D80" s="7" t="inlineStr">
        <is>
          <t>Lopingian Sedimentary (Yatsushiro-Nomozaki Accretionary)</t>
        </is>
      </c>
      <c r="E80" s="5" t="inlineStr">
        <is>
          <t>Yatsushiro-Nomozaki Accretionary Complex</t>
        </is>
      </c>
      <c r="F80" s="6" t="inlineStr">
        <is>
          <t>Lopingian</t>
        </is>
      </c>
      <c r="G80" s="8" t="n">
        <v>251.902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Guadalupian</t>
        </is>
      </c>
      <c r="J80" s="8" t="n">
        <v>274.4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sedimentary</t>
        </is>
      </c>
      <c r="M80" s="5" t="inlineStr"/>
      <c r="N80" s="5" t="inlineStr">
        <is>
          <t>marine</t>
        </is>
      </c>
      <c r="O80" s="5" t="inlineStr">
        <is>
          <t>Paleozoic Permian Guadalupian - Lopingian; mixed rock middle to late Permian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P2-3_sx_P2</t>
        </is>
      </c>
      <c r="U80" s="5" t="inlineStr"/>
      <c r="V80" s="10" t="inlineStr">
        <is>
          <t>P2-3_sx_P2</t>
        </is>
      </c>
      <c r="W80" s="10" t="inlineStr">
        <is>
          <t>古生代 ペルム紀 グアダルピアン世〜ローピンジアン世</t>
        </is>
      </c>
      <c r="X80" s="10" t="inlineStr">
        <is>
          <t>Paleozoic Permian Guadalupian - Lopingian</t>
        </is>
      </c>
      <c r="Y80" s="10" t="inlineStr">
        <is>
          <t>混在岩 中期-後期ペルム紀付加体</t>
        </is>
      </c>
      <c r="Z80" s="10" t="inlineStr">
        <is>
          <t>mixed rock middle to late Permian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m200k_NI-52-12_u096</t>
        </is>
      </c>
      <c r="B81" s="6" t="inlineStr">
        <is>
          <t>col_5</t>
        </is>
      </c>
      <c r="C81" s="6" t="n">
        <v>9</v>
      </c>
      <c r="D81" s="7" t="inlineStr">
        <is>
          <t>Norian Basalt (Yatsushiro-Nomozaki Accretionary)</t>
        </is>
      </c>
      <c r="E81" s="5" t="inlineStr">
        <is>
          <t>Yatsushiro-Nomozaki Accretionary Complex</t>
        </is>
      </c>
      <c r="F81" s="6" t="inlineStr">
        <is>
          <t>Norian</t>
        </is>
      </c>
      <c r="G81" s="8" t="n">
        <v>205.7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Sakmarian</t>
        </is>
      </c>
      <c r="J81" s="8" t="n">
        <v>293.52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basalt</t>
        </is>
      </c>
      <c r="M81" s="5" t="inlineStr"/>
      <c r="N81" s="5" t="inlineStr">
        <is>
          <t>marine</t>
        </is>
      </c>
      <c r="O81" s="5" t="inlineStr">
        <is>
          <t>Paleozoic Permian Cisuralian Sakmarian - Mesozoic Late Triassic Norian; basalt oceanic Late Jurassic to Early Cretaceous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P12-Tr32_vbs_o_J3</t>
        </is>
      </c>
      <c r="U81" s="5" t="inlineStr"/>
      <c r="V81" s="10" t="inlineStr">
        <is>
          <t>P12-Tr32_vbs_o_J3</t>
        </is>
      </c>
      <c r="W81" s="10" t="inlineStr">
        <is>
          <t>古生代 ペルム紀 シスウラリアン世 サクマーリアン期〜中生代 後期三畳紀 ノーリアン期</t>
        </is>
      </c>
      <c r="X81" s="10" t="inlineStr">
        <is>
          <t>Paleozoic Permian Cisuralian Sakmarian - Mesozoic Late Triassic Norian</t>
        </is>
      </c>
      <c r="Y81" s="10" t="inlineStr">
        <is>
          <t>玄武岩 海洋 後期ジュラ紀-前期白亜紀付加体</t>
        </is>
      </c>
      <c r="Z81" s="10" t="inlineStr">
        <is>
          <t>basalt oceanic Late Jurassic to Early Cretaceous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m200k_NI-52-12_u078</t>
        </is>
      </c>
      <c r="B82" s="6" t="inlineStr">
        <is>
          <t>col_5</t>
        </is>
      </c>
      <c r="C82" s="6" t="n">
        <v>10</v>
      </c>
      <c r="D82" s="7" t="inlineStr">
        <is>
          <t>Bajocian Chert (Yatsushiro-Nomozaki Accretionary)</t>
        </is>
      </c>
      <c r="E82" s="5" t="inlineStr">
        <is>
          <t>Yatsushiro-Nomozaki Accretionary Complex</t>
        </is>
      </c>
      <c r="F82" s="6" t="inlineStr">
        <is>
          <t>Bajocian</t>
        </is>
      </c>
      <c r="G82" s="8" t="n">
        <v>168.2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Serpukhovian</t>
        </is>
      </c>
      <c r="J82" s="8" t="n">
        <v>330.3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chert</t>
        </is>
      </c>
      <c r="M82" s="5" t="inlineStr"/>
      <c r="N82" s="5" t="inlineStr">
        <is>
          <t>marine</t>
        </is>
      </c>
      <c r="O82" s="5" t="inlineStr">
        <is>
          <t>Paleozoic Carboniferous Pennsylvanian Serpukhovian - Mesozoic Jurassic Middle Bajocian; chert Middle to Late Jurassic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C13-J22_soh_J2</t>
        </is>
      </c>
      <c r="U82" s="5" t="inlineStr"/>
      <c r="V82" s="10" t="inlineStr">
        <is>
          <t>C13-J22_soh_J2</t>
        </is>
      </c>
      <c r="W82" s="10" t="inlineStr">
        <is>
          <t>古生代 石炭紀 ペンシルバニアン亜紀 後期ミシシッピアン亜紀〜中生代 中期ジュラ紀 バジョシアン期</t>
        </is>
      </c>
      <c r="X82" s="10" t="inlineStr">
        <is>
          <t>Paleozoic Carboniferous Pennsylvanian Serpukhovian - Mesozoic Jurassic Middle Bajocian</t>
        </is>
      </c>
      <c r="Y82" s="10" t="inlineStr">
        <is>
          <t>チャート 中期-後期ジュラ紀付加体</t>
        </is>
      </c>
      <c r="Z82" s="10" t="inlineStr">
        <is>
          <t>chert Middle to Late Jurassic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m200k_NI-52-12_u074</t>
        </is>
      </c>
      <c r="B83" s="6" t="inlineStr">
        <is>
          <t>col_5</t>
        </is>
      </c>
      <c r="C83" s="6" t="n">
        <v>11</v>
      </c>
      <c r="D83" s="7" t="inlineStr">
        <is>
          <t>Jurassic Chert (Yatsushiro-Nomozaki Accretionary)</t>
        </is>
      </c>
      <c r="E83" s="5" t="inlineStr">
        <is>
          <t>Yatsushiro-Nomozaki Accretionary Complex</t>
        </is>
      </c>
      <c r="F83" s="6" t="inlineStr">
        <is>
          <t>Jurassic</t>
        </is>
      </c>
      <c r="G83" s="8" t="n">
        <v>143.1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Serpukhovian</t>
        </is>
      </c>
      <c r="J83" s="8" t="n">
        <v>330.3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chert</t>
        </is>
      </c>
      <c r="M83" s="5" t="inlineStr"/>
      <c r="N83" s="5" t="inlineStr">
        <is>
          <t>marine</t>
        </is>
      </c>
      <c r="O83" s="5" t="inlineStr">
        <is>
          <t>Paleozoic Carboniferous Pennsylvanian Serpukhovian - Mesozoic Jurassic Early; chert Early to Middle Jurassic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C13-J1_soh_J1</t>
        </is>
      </c>
      <c r="U83" s="5" t="inlineStr"/>
      <c r="V83" s="10" t="inlineStr">
        <is>
          <t>C13-J1_soh_J1</t>
        </is>
      </c>
      <c r="W83" s="10" t="inlineStr">
        <is>
          <t>古生代 石炭紀 ペンシルバニアン亜紀 後期ミシシッピアン亜紀〜中生代 前期ジュラ紀</t>
        </is>
      </c>
      <c r="X83" s="10" t="inlineStr">
        <is>
          <t>Paleozoic Carboniferous Pennsylvanian Serpukhovian - Mesozoic Jurassic Early</t>
        </is>
      </c>
      <c r="Y83" s="10" t="inlineStr">
        <is>
          <t>チャート 前期-中期ジュラ紀付加体</t>
        </is>
      </c>
      <c r="Z83" s="10" t="inlineStr">
        <is>
          <t>chert Early to Middle Jurassic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m200k_NI-52-12_u085</t>
        </is>
      </c>
      <c r="B84" s="6" t="inlineStr">
        <is>
          <t>col_5</t>
        </is>
      </c>
      <c r="C84" s="6" t="n">
        <v>12</v>
      </c>
      <c r="D84" s="7" t="inlineStr">
        <is>
          <t>Oxfordian Chert (Yatsushiro-Nomozaki Accretionary)</t>
        </is>
      </c>
      <c r="E84" s="5" t="inlineStr">
        <is>
          <t>Yatsushiro-Nomozaki Accretionary Complex</t>
        </is>
      </c>
      <c r="F84" s="6" t="inlineStr">
        <is>
          <t>Oxfordian</t>
        </is>
      </c>
      <c r="G84" s="8" t="n">
        <v>154.8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Sakmarian</t>
        </is>
      </c>
      <c r="J84" s="8" t="n">
        <v>293.52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chert</t>
        </is>
      </c>
      <c r="M84" s="5" t="inlineStr"/>
      <c r="N84" s="5" t="inlineStr">
        <is>
          <t>marine</t>
        </is>
      </c>
      <c r="O84" s="5" t="inlineStr">
        <is>
          <t>Paleozoic Permian Cisuralian Sakmarian - Mesozoic Late Jurassic Oxfordian; chert Late Jurassic to Early Cretaceous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P12-J31_soh_J3</t>
        </is>
      </c>
      <c r="U84" s="5" t="inlineStr"/>
      <c r="V84" s="10" t="inlineStr">
        <is>
          <t>P12-J31_soh_J3</t>
        </is>
      </c>
      <c r="W84" s="10" t="inlineStr">
        <is>
          <t>古生代 ペルム紀 シスウラリアン世 サクマーリアン期〜中生代 後期ジュラ紀 オックスフォーディアン期</t>
        </is>
      </c>
      <c r="X84" s="10" t="inlineStr">
        <is>
          <t>Paleozoic Permian Cisuralian Sakmarian - Mesozoic Late Jurassic Oxfordian</t>
        </is>
      </c>
      <c r="Y84" s="10" t="inlineStr">
        <is>
          <t>チャート 後期ジュラ紀-前期白亜紀付加体</t>
        </is>
      </c>
      <c r="Z84" s="10" t="inlineStr">
        <is>
          <t>chert Late Jurassic to Early Cretaceous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m200k_NI-52-12_u091</t>
        </is>
      </c>
      <c r="B85" s="6" t="inlineStr">
        <is>
          <t>col_5</t>
        </is>
      </c>
      <c r="C85" s="6" t="n">
        <v>13</v>
      </c>
      <c r="D85" s="7" t="inlineStr">
        <is>
          <t>Jurassic Limestone (Yatsushiro-Nomozaki Accretionary)</t>
        </is>
      </c>
      <c r="E85" s="5" t="inlineStr">
        <is>
          <t>Yatsushiro-Nomozaki Accretionary Complex</t>
        </is>
      </c>
      <c r="F85" s="6" t="inlineStr">
        <is>
          <t>Jurassic</t>
        </is>
      </c>
      <c r="G85" s="8" t="n">
        <v>143.1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Sakmarian</t>
        </is>
      </c>
      <c r="J85" s="8" t="n">
        <v>293.52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limestone</t>
        </is>
      </c>
      <c r="M85" s="5" t="inlineStr"/>
      <c r="N85" s="5" t="inlineStr">
        <is>
          <t>marine</t>
        </is>
      </c>
      <c r="O85" s="5" t="inlineStr">
        <is>
          <t>Paleozoic Permian Cisuralian Sakmarian - Mesozoic Jurassic; marine limestone Late Jurassic to Early Cretaceous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P12-J_sol_J3</t>
        </is>
      </c>
      <c r="U85" s="5" t="inlineStr"/>
      <c r="V85" s="10" t="inlineStr">
        <is>
          <t>P12-J_sol_J3</t>
        </is>
      </c>
      <c r="W85" s="10" t="inlineStr">
        <is>
          <t>古生代 ペルム紀 シスウラリアン世 サクマーリアン期〜中生代 ジュラ紀</t>
        </is>
      </c>
      <c r="X85" s="10" t="inlineStr">
        <is>
          <t>Paleozoic Permian Cisuralian Sakmarian - Mesozoic Jurassic</t>
        </is>
      </c>
      <c r="Y85" s="10" t="inlineStr">
        <is>
          <t>海成層 石灰岩 後期ジュラ紀-前期白亜紀付加体</t>
        </is>
      </c>
      <c r="Z85" s="10" t="inlineStr">
        <is>
          <t>marine limestone Late Jurassic to Early Cretaceous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m200k_NI-52-12_u072</t>
        </is>
      </c>
      <c r="B86" s="6" t="inlineStr">
        <is>
          <t>col_5</t>
        </is>
      </c>
      <c r="C86" s="6" t="n">
        <v>14</v>
      </c>
      <c r="D86" s="7" t="inlineStr">
        <is>
          <t>Bajocian Sedimentary (Yatsushiro-Nomozaki Accretionary)</t>
        </is>
      </c>
      <c r="E86" s="5" t="inlineStr">
        <is>
          <t>Yatsushiro-Nomozaki Accretionary Complex</t>
        </is>
      </c>
      <c r="F86" s="6" t="inlineStr">
        <is>
          <t>Bajocian</t>
        </is>
      </c>
      <c r="G86" s="8" t="n">
        <v>168.2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Jurassic</t>
        </is>
      </c>
      <c r="J86" s="8" t="n">
        <v>201.4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sedimentary</t>
        </is>
      </c>
      <c r="M86" s="5" t="inlineStr"/>
      <c r="N86" s="5" t="inlineStr">
        <is>
          <t>marine</t>
        </is>
      </c>
      <c r="O86" s="5" t="inlineStr">
        <is>
          <t>Mesozoic Jurassic Early - Middle Bajocian; mixed rock Early to Middle Jurassic accretionary complex [Accretionary Complex]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J1-22_sx_J1</t>
        </is>
      </c>
      <c r="U86" s="5" t="inlineStr"/>
      <c r="V86" s="10" t="inlineStr">
        <is>
          <t>J1-22_sx_J1</t>
        </is>
      </c>
      <c r="W86" s="10" t="inlineStr">
        <is>
          <t>中生代 前期ジュラ紀〜中期ジュラ紀 バジョシアン期</t>
        </is>
      </c>
      <c r="X86" s="10" t="inlineStr">
        <is>
          <t>Mesozoic Jurassic Early - Middle Bajocian</t>
        </is>
      </c>
      <c r="Y86" s="10" t="inlineStr">
        <is>
          <t>混在岩 前期-中期ジュラ紀付加体</t>
        </is>
      </c>
      <c r="Z86" s="10" t="inlineStr">
        <is>
          <t>mixed rock Early to Middle Jurassic accretionary complex</t>
        </is>
      </c>
      <c r="AA86" s="10" t="inlineStr">
        <is>
          <t>付加体</t>
        </is>
      </c>
      <c r="AB86" s="10" t="inlineStr">
        <is>
          <t>Accretionary complexes</t>
        </is>
      </c>
      <c r="AC86" s="10" t="inlineStr">
        <is>
          <t>Accretionary Complex</t>
        </is>
      </c>
    </row>
    <row r="87">
      <c r="A87" s="5" t="inlineStr">
        <is>
          <t>m200k_NI-52-12_u080</t>
        </is>
      </c>
      <c r="B87" s="6" t="inlineStr">
        <is>
          <t>col_5</t>
        </is>
      </c>
      <c r="C87" s="6" t="n">
        <v>15</v>
      </c>
      <c r="D87" s="7" t="inlineStr">
        <is>
          <t>Bajocian Sandstone (Yatsushiro-Nomozaki Accretionary)</t>
        </is>
      </c>
      <c r="E87" s="5" t="inlineStr">
        <is>
          <t>Yatsushiro-Nomozaki Accretionary Complex</t>
        </is>
      </c>
      <c r="F87" s="6" t="inlineStr">
        <is>
          <t>Bajocian</t>
        </is>
      </c>
      <c r="G87" s="8" t="n">
        <v>168.2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Jurassic</t>
        </is>
      </c>
      <c r="J87" s="8" t="n">
        <v>201.4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sandstone</t>
        </is>
      </c>
      <c r="M87" s="5" t="inlineStr"/>
      <c r="N87" s="5" t="inlineStr">
        <is>
          <t>marine</t>
        </is>
      </c>
      <c r="O87" s="5" t="inlineStr">
        <is>
          <t>Mesozoic Jurassic Early - Middle Bajocian; marine sandstone Early to Middle Jurassic accretionary complex [Accretionary Complex]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J1-22_soss_J1</t>
        </is>
      </c>
      <c r="U87" s="5" t="inlineStr"/>
      <c r="V87" s="10" t="inlineStr">
        <is>
          <t>J1-22_soss_J1</t>
        </is>
      </c>
      <c r="W87" s="10" t="inlineStr">
        <is>
          <t>中生代 前期ジュラ紀〜中期ジュラ紀 バジョシアン期</t>
        </is>
      </c>
      <c r="X87" s="10" t="inlineStr">
        <is>
          <t>Mesozoic Jurassic Early - Middle Bajocian</t>
        </is>
      </c>
      <c r="Y87" s="10" t="inlineStr">
        <is>
          <t>海成層 砂岩 前期-中期ジュラ紀付加体</t>
        </is>
      </c>
      <c r="Z87" s="10" t="inlineStr">
        <is>
          <t>marine sandstone Early to Middle Jurassic accretionary complex</t>
        </is>
      </c>
      <c r="AA87" s="10" t="inlineStr">
        <is>
          <t>付加体</t>
        </is>
      </c>
      <c r="AB87" s="10" t="inlineStr">
        <is>
          <t>Accretionary complexes</t>
        </is>
      </c>
      <c r="AC87" s="10" t="inlineStr">
        <is>
          <t>Accretionary Complex</t>
        </is>
      </c>
    </row>
    <row r="88">
      <c r="A88" s="5" t="inlineStr">
        <is>
          <t>m200k_NI-52-12_u089</t>
        </is>
      </c>
      <c r="B88" s="6" t="inlineStr">
        <is>
          <t>col_5</t>
        </is>
      </c>
      <c r="C88" s="6" t="n">
        <v>16</v>
      </c>
      <c r="D88" s="7" t="inlineStr">
        <is>
          <t>Bajocian Conglomerate (Yatsushiro-Nomozaki Accretionary)</t>
        </is>
      </c>
      <c r="E88" s="5" t="inlineStr">
        <is>
          <t>Yatsushiro-Nomozaki Accretionary Complex</t>
        </is>
      </c>
      <c r="F88" s="6" t="inlineStr">
        <is>
          <t>Bajocian</t>
        </is>
      </c>
      <c r="G88" s="8" t="n">
        <v>168.2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Jurassic</t>
        </is>
      </c>
      <c r="J88" s="8" t="n">
        <v>201.4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conglomerate</t>
        </is>
      </c>
      <c r="M88" s="5" t="inlineStr"/>
      <c r="N88" s="5" t="inlineStr">
        <is>
          <t>marine</t>
        </is>
      </c>
      <c r="O88" s="5" t="inlineStr">
        <is>
          <t>Mesozoic Jurassic Early - Middle Bajocian; marine conglomerate Early to Middle Jurassic accretionary complex [Accretionary Complex]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J1-22_soc_J1</t>
        </is>
      </c>
      <c r="U88" s="5" t="inlineStr"/>
      <c r="V88" s="10" t="inlineStr">
        <is>
          <t>J1-22_soc_J1</t>
        </is>
      </c>
      <c r="W88" s="10" t="inlineStr">
        <is>
          <t>中生代 前期ジュラ紀〜中期ジュラ紀 バジョシアン期</t>
        </is>
      </c>
      <c r="X88" s="10" t="inlineStr">
        <is>
          <t>Mesozoic Jurassic Early - Middle Bajocian</t>
        </is>
      </c>
      <c r="Y88" s="10" t="inlineStr">
        <is>
          <t>海成層 礫岩 前期-中期ジュラ紀付加体</t>
        </is>
      </c>
      <c r="Z88" s="10" t="inlineStr">
        <is>
          <t>marine conglomerate Early to Middle Jurassic accretionary complex</t>
        </is>
      </c>
      <c r="AA88" s="10" t="inlineStr">
        <is>
          <t>付加体</t>
        </is>
      </c>
      <c r="AB88" s="10" t="inlineStr">
        <is>
          <t>Accretionary complexes</t>
        </is>
      </c>
      <c r="AC88" s="10" t="inlineStr">
        <is>
          <t>Accretionary Complex</t>
        </is>
      </c>
    </row>
    <row r="89">
      <c r="A89" s="5" t="inlineStr">
        <is>
          <t>m200k_NI-52-12_u077</t>
        </is>
      </c>
      <c r="B89" s="6" t="inlineStr">
        <is>
          <t>col_5</t>
        </is>
      </c>
      <c r="C89" s="6" t="n">
        <v>17</v>
      </c>
      <c r="D89" s="7" t="inlineStr">
        <is>
          <t>Oxfordian Sandstone (Yatsushiro-Nomozaki Accretionary)</t>
        </is>
      </c>
      <c r="E89" s="5" t="inlineStr">
        <is>
          <t>Yatsushiro-Nomozaki Accretionary Complex</t>
        </is>
      </c>
      <c r="F89" s="6" t="inlineStr">
        <is>
          <t>Oxfordian</t>
        </is>
      </c>
      <c r="G89" s="8" t="n">
        <v>154.8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Jurassic</t>
        </is>
      </c>
      <c r="J89" s="8" t="n">
        <v>201.4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sandstone</t>
        </is>
      </c>
      <c r="M89" s="5" t="inlineStr"/>
      <c r="N89" s="5" t="inlineStr">
        <is>
          <t>marine</t>
        </is>
      </c>
      <c r="O89" s="5" t="inlineStr">
        <is>
          <t>Mesozoic Jurassic Middle - Late Jurassic Oxfordian; marine sandstone Middle to Late Jurassic accretionary complex [Accretionary Complex]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J2-31_soss_J2</t>
        </is>
      </c>
      <c r="U89" s="5" t="inlineStr"/>
      <c r="V89" s="10" t="inlineStr">
        <is>
          <t>J2-31_soss_J2</t>
        </is>
      </c>
      <c r="W89" s="10" t="inlineStr">
        <is>
          <t>中生代 中期ジュラ紀〜後期ジュラ紀 オックスフォーディアン期</t>
        </is>
      </c>
      <c r="X89" s="10" t="inlineStr">
        <is>
          <t>Mesozoic Jurassic Middle - Late Jurassic Oxfordian</t>
        </is>
      </c>
      <c r="Y89" s="10" t="inlineStr">
        <is>
          <t>海成層 砂岩 中期-後期ジュラ紀付加体</t>
        </is>
      </c>
      <c r="Z89" s="10" t="inlineStr">
        <is>
          <t>marine sandstone Middle to Late Jurassic accretionary complex</t>
        </is>
      </c>
      <c r="AA89" s="10" t="inlineStr">
        <is>
          <t>付加体</t>
        </is>
      </c>
      <c r="AB89" s="10" t="inlineStr">
        <is>
          <t>Accretionary complexes</t>
        </is>
      </c>
      <c r="AC89" s="10" t="inlineStr">
        <is>
          <t>Accretionary Complex</t>
        </is>
      </c>
    </row>
    <row r="90">
      <c r="A90" s="5" t="inlineStr">
        <is>
          <t>m200k_NI-52-12_u090</t>
        </is>
      </c>
      <c r="B90" s="6" t="inlineStr">
        <is>
          <t>col_5</t>
        </is>
      </c>
      <c r="C90" s="6" t="n">
        <v>18</v>
      </c>
      <c r="D90" s="7" t="inlineStr">
        <is>
          <t>Oxfordian Mudstone (Yatsushiro-Nomozaki Accretionary)</t>
        </is>
      </c>
      <c r="E90" s="5" t="inlineStr">
        <is>
          <t>Yatsushiro-Nomozaki Accretionary Complex</t>
        </is>
      </c>
      <c r="F90" s="6" t="inlineStr">
        <is>
          <t>Oxfordian</t>
        </is>
      </c>
      <c r="G90" s="8" t="n">
        <v>154.8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Jurassic</t>
        </is>
      </c>
      <c r="J90" s="8" t="n">
        <v>201.4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mudstone</t>
        </is>
      </c>
      <c r="M90" s="5" t="inlineStr"/>
      <c r="N90" s="5" t="inlineStr">
        <is>
          <t>marine</t>
        </is>
      </c>
      <c r="O90" s="5" t="inlineStr">
        <is>
          <t>Mesozoic Jurassic Middle - Late Jurassic Oxfordian; marine mudstone Middle to Late Jurassic accretionary complex [Accretionary Complex]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J2-31_som_J2</t>
        </is>
      </c>
      <c r="U90" s="5" t="inlineStr"/>
      <c r="V90" s="10" t="inlineStr">
        <is>
          <t>J2-31_som_J2</t>
        </is>
      </c>
      <c r="W90" s="10" t="inlineStr">
        <is>
          <t>中生代 中期ジュラ紀〜後期ジュラ紀 オックスフォーディアン期</t>
        </is>
      </c>
      <c r="X90" s="10" t="inlineStr">
        <is>
          <t>Mesozoic Jurassic Middle - Late Jurassic Oxfordian</t>
        </is>
      </c>
      <c r="Y90" s="10" t="inlineStr">
        <is>
          <t>海成層 泥岩 中期-後期ジュラ紀付加体</t>
        </is>
      </c>
      <c r="Z90" s="10" t="inlineStr">
        <is>
          <t>marine mudstone Middle to Late Jurassic accretionary complex</t>
        </is>
      </c>
      <c r="AA90" s="10" t="inlineStr">
        <is>
          <t>付加体</t>
        </is>
      </c>
      <c r="AB90" s="10" t="inlineStr">
        <is>
          <t>Accretionary complexes</t>
        </is>
      </c>
      <c r="AC90" s="10" t="inlineStr">
        <is>
          <t>Accretionary Complex</t>
        </is>
      </c>
    </row>
    <row r="91">
      <c r="A91" s="5" t="inlineStr">
        <is>
          <t>m200k_NI-52-12_u095</t>
        </is>
      </c>
      <c r="B91" s="6" t="inlineStr">
        <is>
          <t>col_5</t>
        </is>
      </c>
      <c r="C91" s="6" t="n">
        <v>19</v>
      </c>
      <c r="D91" s="7" t="inlineStr">
        <is>
          <t>Oxfordian Conglomerate (Yatsushiro-Nomozaki Accretionary)</t>
        </is>
      </c>
      <c r="E91" s="5" t="inlineStr">
        <is>
          <t>Yatsushiro-Nomozaki Accretionary Complex</t>
        </is>
      </c>
      <c r="F91" s="6" t="inlineStr">
        <is>
          <t>Oxfordian</t>
        </is>
      </c>
      <c r="G91" s="8" t="n">
        <v>154.8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Jurassic</t>
        </is>
      </c>
      <c r="J91" s="8" t="n">
        <v>201.4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conglomerate</t>
        </is>
      </c>
      <c r="M91" s="5" t="inlineStr"/>
      <c r="N91" s="5" t="inlineStr">
        <is>
          <t>marine</t>
        </is>
      </c>
      <c r="O91" s="5" t="inlineStr">
        <is>
          <t>Mesozoic Jurassic Middle - Late Jurassic Oxfordian; marine conglomerate Middle to Late Jurassic accretionary complex [Accretionary Complex]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J2-31_soc_J2</t>
        </is>
      </c>
      <c r="U91" s="5" t="inlineStr"/>
      <c r="V91" s="10" t="inlineStr">
        <is>
          <t>J2-31_soc_J2</t>
        </is>
      </c>
      <c r="W91" s="10" t="inlineStr">
        <is>
          <t>中生代 中期ジュラ紀〜後期ジュラ紀 オックスフォーディアン期</t>
        </is>
      </c>
      <c r="X91" s="10" t="inlineStr">
        <is>
          <t>Mesozoic Jurassic Middle - Late Jurassic Oxfordian</t>
        </is>
      </c>
      <c r="Y91" s="10" t="inlineStr">
        <is>
          <t>海成層 礫岩 中期-後期ジュラ紀付加体</t>
        </is>
      </c>
      <c r="Z91" s="10" t="inlineStr">
        <is>
          <t>marine conglomerate Middle to Late Jurassic accretionary complex</t>
        </is>
      </c>
      <c r="AA91" s="10" t="inlineStr">
        <is>
          <t>付加体</t>
        </is>
      </c>
      <c r="AB91" s="10" t="inlineStr">
        <is>
          <t>Accretionary complexes</t>
        </is>
      </c>
      <c r="AC91" s="10" t="inlineStr">
        <is>
          <t>Accretionary Complex</t>
        </is>
      </c>
    </row>
    <row r="92">
      <c r="A92" s="5" t="inlineStr">
        <is>
          <t>m200k_NI-52-12_u108</t>
        </is>
      </c>
      <c r="B92" s="6" t="inlineStr">
        <is>
          <t>col_5</t>
        </is>
      </c>
      <c r="C92" s="6" t="n">
        <v>20</v>
      </c>
      <c r="D92" s="7" t="inlineStr">
        <is>
          <t>Oxfordian Sedimentary (Yatsushiro-Nomozaki Accretionary)</t>
        </is>
      </c>
      <c r="E92" s="5" t="inlineStr">
        <is>
          <t>Yatsushiro-Nomozaki Accretionary Complex</t>
        </is>
      </c>
      <c r="F92" s="6" t="inlineStr">
        <is>
          <t>Oxfordian</t>
        </is>
      </c>
      <c r="G92" s="8" t="n">
        <v>154.8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Jurassic</t>
        </is>
      </c>
      <c r="J92" s="8" t="n">
        <v>201.4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sedimentary</t>
        </is>
      </c>
      <c r="M92" s="5" t="inlineStr"/>
      <c r="N92" s="5" t="inlineStr">
        <is>
          <t>marine</t>
        </is>
      </c>
      <c r="O92" s="5" t="inlineStr">
        <is>
          <t>Mesozoic Jurassic Middle - Late Jurassic Oxfordian; mixed rock Middle to Late Jurassic accretionary complex [Accretionary Complex]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J2-31_sx_J2</t>
        </is>
      </c>
      <c r="U92" s="5" t="inlineStr"/>
      <c r="V92" s="10" t="inlineStr">
        <is>
          <t>J2-31_sx_J2</t>
        </is>
      </c>
      <c r="W92" s="10" t="inlineStr">
        <is>
          <t>中生代 中期ジュラ紀〜後期ジュラ紀 オックスフォーディアン期</t>
        </is>
      </c>
      <c r="X92" s="10" t="inlineStr">
        <is>
          <t>Mesozoic Jurassic Middle - Late Jurassic Oxfordian</t>
        </is>
      </c>
      <c r="Y92" s="10" t="inlineStr">
        <is>
          <t>混在岩 中期-後期ジュラ紀付加体</t>
        </is>
      </c>
      <c r="Z92" s="10" t="inlineStr">
        <is>
          <t>mixed rock Middle to Late Jurassic accretionary complex</t>
        </is>
      </c>
      <c r="AA92" s="10" t="inlineStr">
        <is>
          <t>付加体</t>
        </is>
      </c>
      <c r="AB92" s="10" t="inlineStr">
        <is>
          <t>Accretionary complexes</t>
        </is>
      </c>
      <c r="AC92" s="10" t="inlineStr">
        <is>
          <t>Accretionary Complex</t>
        </is>
      </c>
    </row>
    <row r="93">
      <c r="A93" s="5" t="inlineStr">
        <is>
          <t>m200k_NI-52-12_u084</t>
        </is>
      </c>
      <c r="B93" s="6" t="inlineStr">
        <is>
          <t>col_5</t>
        </is>
      </c>
      <c r="C93" s="6" t="n">
        <v>21</v>
      </c>
      <c r="D93" s="7" t="inlineStr">
        <is>
          <t>Barremian Sedimentary (Yatsushiro-Nomozaki Accretionary)</t>
        </is>
      </c>
      <c r="E93" s="5" t="inlineStr">
        <is>
          <t>Yatsushiro-Nomozaki Accretionary Complex</t>
        </is>
      </c>
      <c r="F93" s="6" t="inlineStr">
        <is>
          <t>Barremian</t>
        </is>
      </c>
      <c r="G93" s="8" t="n">
        <v>121.4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Callovian</t>
        </is>
      </c>
      <c r="J93" s="8" t="n">
        <v>165.3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sedimentary</t>
        </is>
      </c>
      <c r="M93" s="5" t="inlineStr"/>
      <c r="N93" s="5" t="inlineStr">
        <is>
          <t>marine</t>
        </is>
      </c>
      <c r="O93" s="5" t="inlineStr">
        <is>
          <t>Mesozoic Jurassic Middle Callovian - Early Cretaceous Barremian; mixed rock Late Jurassic to Early Cretaceous accretionary complex [Accretionary Complex]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J24-K11_sx_J3</t>
        </is>
      </c>
      <c r="U93" s="5" t="inlineStr"/>
      <c r="V93" s="10" t="inlineStr">
        <is>
          <t>J24-K11_sx_J3</t>
        </is>
      </c>
      <c r="W93" s="10" t="inlineStr">
        <is>
          <t>中生代 中期ジュラ紀 カロビアン期〜前期白亜紀 バレミアン期</t>
        </is>
      </c>
      <c r="X93" s="10" t="inlineStr">
        <is>
          <t>Mesozoic Jurassic Middle Callovian - Early Cretaceous Barremian</t>
        </is>
      </c>
      <c r="Y93" s="10" t="inlineStr">
        <is>
          <t>混在岩 後期ジュラ紀-前期白亜紀付加体</t>
        </is>
      </c>
      <c r="Z93" s="10" t="inlineStr">
        <is>
          <t>mixed rock Late Jurassic to Early Cretaceous accretionary complex</t>
        </is>
      </c>
      <c r="AA93" s="10" t="inlineStr">
        <is>
          <t>付加体</t>
        </is>
      </c>
      <c r="AB93" s="10" t="inlineStr">
        <is>
          <t>Accretionary complexes</t>
        </is>
      </c>
      <c r="AC93" s="10" t="inlineStr">
        <is>
          <t>Accretionary Complex</t>
        </is>
      </c>
    </row>
    <row r="94">
      <c r="A94" s="5" t="inlineStr">
        <is>
          <t>m200k_NI-52-12_u093</t>
        </is>
      </c>
      <c r="B94" s="6" t="inlineStr">
        <is>
          <t>col_5</t>
        </is>
      </c>
      <c r="C94" s="6" t="n">
        <v>22</v>
      </c>
      <c r="D94" s="7" t="inlineStr">
        <is>
          <t>Barremian Conglomerate (Yatsushiro-Nomozaki Accretionary)</t>
        </is>
      </c>
      <c r="E94" s="5" t="inlineStr">
        <is>
          <t>Yatsushiro-Nomozaki Accretionary Complex</t>
        </is>
      </c>
      <c r="F94" s="6" t="inlineStr">
        <is>
          <t>Barremian</t>
        </is>
      </c>
      <c r="G94" s="8" t="n">
        <v>121.4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Callovian</t>
        </is>
      </c>
      <c r="J94" s="8" t="n">
        <v>165.3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conglomerate</t>
        </is>
      </c>
      <c r="M94" s="5" t="inlineStr"/>
      <c r="N94" s="5" t="inlineStr">
        <is>
          <t>marine</t>
        </is>
      </c>
      <c r="O94" s="5" t="inlineStr">
        <is>
          <t>Mesozoic Jurassic Middle Callovian - Early Cretaceous Barremian; marine conglomerate Late Jurassic to Early Cretaceous accretionary complex [Accretionary Complex]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J24-K11_soc_J3</t>
        </is>
      </c>
      <c r="U94" s="5" t="inlineStr"/>
      <c r="V94" s="10" t="inlineStr">
        <is>
          <t>J24-K11_soc_J3</t>
        </is>
      </c>
      <c r="W94" s="10" t="inlineStr">
        <is>
          <t>中生代 中期ジュラ紀 カロビアン期〜前期白亜紀 バレミアン期</t>
        </is>
      </c>
      <c r="X94" s="10" t="inlineStr">
        <is>
          <t>Mesozoic Jurassic Middle Callovian - Early Cretaceous Barremian</t>
        </is>
      </c>
      <c r="Y94" s="10" t="inlineStr">
        <is>
          <t>海成層 礫岩 後期ジュラ紀-前期白亜紀付加体</t>
        </is>
      </c>
      <c r="Z94" s="10" t="inlineStr">
        <is>
          <t>marine conglomerate Late Jurassic to Early Cretaceous accretionary complex</t>
        </is>
      </c>
      <c r="AA94" s="10" t="inlineStr">
        <is>
          <t>付加体</t>
        </is>
      </c>
      <c r="AB94" s="10" t="inlineStr">
        <is>
          <t>Accretionary complexes</t>
        </is>
      </c>
      <c r="AC94" s="10" t="inlineStr">
        <is>
          <t>Accretionary Complex</t>
        </is>
      </c>
    </row>
    <row r="95">
      <c r="A95" s="5" t="inlineStr">
        <is>
          <t>m200k_NI-52-12_u106</t>
        </is>
      </c>
      <c r="B95" s="6" t="inlineStr">
        <is>
          <t>col_5</t>
        </is>
      </c>
      <c r="C95" s="6" t="n">
        <v>23</v>
      </c>
      <c r="D95" s="7" t="inlineStr">
        <is>
          <t>Aptian Mudstone (Yatsushiro-Nomozaki Accretionary)</t>
        </is>
      </c>
      <c r="E95" s="5" t="inlineStr">
        <is>
          <t>Yatsushiro-Nomozaki Accretionary Complex</t>
        </is>
      </c>
      <c r="F95" s="6" t="inlineStr">
        <is>
          <t>Aptian</t>
        </is>
      </c>
      <c r="G95" s="8" t="n">
        <v>113.2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Tithonian</t>
        </is>
      </c>
      <c r="J95" s="8" t="n">
        <v>149.2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mudstone</t>
        </is>
      </c>
      <c r="M95" s="5" t="inlineStr"/>
      <c r="N95" s="5" t="inlineStr">
        <is>
          <t>marine</t>
        </is>
      </c>
      <c r="O95" s="5" t="inlineStr">
        <is>
          <t>Mesozoic Late Jurassic Tithonian - Early Cretaceous Aptian; red or green mudstone late Early to early Late Cretaceous accretionary complex [Accretionary Complex]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J33-K121_sor_K1</t>
        </is>
      </c>
      <c r="U95" s="5" t="inlineStr"/>
      <c r="V95" s="10" t="inlineStr">
        <is>
          <t>J33-K121_sor_K1</t>
        </is>
      </c>
      <c r="W95" s="10" t="inlineStr">
        <is>
          <t>中生代 後期ジュラ紀 チトニアン期〜前期白亜紀 アプチアン期</t>
        </is>
      </c>
      <c r="X95" s="10" t="inlineStr">
        <is>
          <t>Mesozoic Late Jurassic Tithonian - Early Cretaceous Aptian</t>
        </is>
      </c>
      <c r="Y95" s="10" t="inlineStr">
        <is>
          <t>多色泥岩 前期白亜紀後期-後期白亜紀前期付加体</t>
        </is>
      </c>
      <c r="Z95" s="10" t="inlineStr">
        <is>
          <t>red or green mudstone late Early to early Late Cretaceous accretionary complex</t>
        </is>
      </c>
      <c r="AA95" s="10" t="inlineStr">
        <is>
          <t>付加体</t>
        </is>
      </c>
      <c r="AB95" s="10" t="inlineStr">
        <is>
          <t>Accretionary complexes</t>
        </is>
      </c>
      <c r="AC95" s="10" t="inlineStr">
        <is>
          <t>Accretionary Complex</t>
        </is>
      </c>
    </row>
    <row r="96">
      <c r="A96" s="5" t="inlineStr">
        <is>
          <t>m200k_NI-52-12_u111</t>
        </is>
      </c>
      <c r="B96" s="6" t="inlineStr">
        <is>
          <t>col_5</t>
        </is>
      </c>
      <c r="C96" s="6" t="n">
        <v>24</v>
      </c>
      <c r="D96" s="7" t="inlineStr">
        <is>
          <t>Aptian Chert (Yatsushiro-Nomozaki Accretionary)</t>
        </is>
      </c>
      <c r="E96" s="5" t="inlineStr">
        <is>
          <t>Yatsushiro-Nomozaki Accretionary Complex</t>
        </is>
      </c>
      <c r="F96" s="6" t="inlineStr">
        <is>
          <t>Aptian</t>
        </is>
      </c>
      <c r="G96" s="8" t="n">
        <v>113.2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Tithonian</t>
        </is>
      </c>
      <c r="J96" s="8" t="n">
        <v>149.2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chert</t>
        </is>
      </c>
      <c r="M96" s="5" t="inlineStr"/>
      <c r="N96" s="5" t="inlineStr">
        <is>
          <t>marine</t>
        </is>
      </c>
      <c r="O96" s="5" t="inlineStr">
        <is>
          <t>Mesozoic Late Jurassic Tithonian - Early Cretaceous Aptian; chert late Early to early Late Cretaceous accretionary complex [Accretionary Complex]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J33-K121_soh_K1</t>
        </is>
      </c>
      <c r="U96" s="5" t="inlineStr"/>
      <c r="V96" s="10" t="inlineStr">
        <is>
          <t>J33-K121_soh_K1</t>
        </is>
      </c>
      <c r="W96" s="10" t="inlineStr">
        <is>
          <t>中生代 後期ジュラ紀 チトニアン期〜前期白亜紀 アプチアン期</t>
        </is>
      </c>
      <c r="X96" s="10" t="inlineStr">
        <is>
          <t>Mesozoic Late Jurassic Tithonian - Early Cretaceous Aptian</t>
        </is>
      </c>
      <c r="Y96" s="10" t="inlineStr">
        <is>
          <t>チャート 前期白亜紀後期-後期白亜紀前期付加体</t>
        </is>
      </c>
      <c r="Z96" s="10" t="inlineStr">
        <is>
          <t>chert late Early to early Late Cretaceous accretionary complex</t>
        </is>
      </c>
      <c r="AA96" s="10" t="inlineStr">
        <is>
          <t>付加体</t>
        </is>
      </c>
      <c r="AB96" s="10" t="inlineStr">
        <is>
          <t>Accretionary complexes</t>
        </is>
      </c>
      <c r="AC96" s="10" t="inlineStr">
        <is>
          <t>Accretionary Complex</t>
        </is>
      </c>
    </row>
    <row r="97">
      <c r="A97" s="5" t="inlineStr">
        <is>
          <t>m200k_NI-52-12_u113</t>
        </is>
      </c>
      <c r="B97" s="6" t="inlineStr">
        <is>
          <t>col_5</t>
        </is>
      </c>
      <c r="C97" s="6" t="n">
        <v>25</v>
      </c>
      <c r="D97" s="7" t="inlineStr">
        <is>
          <t>Aptian Basalt (Yatsushiro-Nomozaki Accretionary)</t>
        </is>
      </c>
      <c r="E97" s="5" t="inlineStr">
        <is>
          <t>Yatsushiro-Nomozaki Accretionary Complex</t>
        </is>
      </c>
      <c r="F97" s="6" t="inlineStr">
        <is>
          <t>Aptian</t>
        </is>
      </c>
      <c r="G97" s="8" t="n">
        <v>113.2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Tithonian</t>
        </is>
      </c>
      <c r="J97" s="8" t="n">
        <v>149.2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basalt</t>
        </is>
      </c>
      <c r="M97" s="5" t="inlineStr"/>
      <c r="N97" s="5" t="inlineStr">
        <is>
          <t>marine</t>
        </is>
      </c>
      <c r="O97" s="5" t="inlineStr">
        <is>
          <t>Mesozoic Late Jurassic Tithonian - Early Cretaceous Aptian; basalt oceanic late Early to early Late Cretaceous accretionary complex [Accretionary Complex]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J33-K121_vbs_o_K1</t>
        </is>
      </c>
      <c r="U97" s="5" t="inlineStr"/>
      <c r="V97" s="10" t="inlineStr">
        <is>
          <t>J33-K121_vbs_o_K1</t>
        </is>
      </c>
      <c r="W97" s="10" t="inlineStr">
        <is>
          <t>中生代 後期ジュラ紀 チトニアン期〜前期白亜紀 アプチアン期</t>
        </is>
      </c>
      <c r="X97" s="10" t="inlineStr">
        <is>
          <t>Mesozoic Late Jurassic Tithonian - Early Cretaceous Aptian</t>
        </is>
      </c>
      <c r="Y97" s="10" t="inlineStr">
        <is>
          <t>玄武岩 海洋 前期白亜紀後期-後期白亜紀前期付加体</t>
        </is>
      </c>
      <c r="Z97" s="10" t="inlineStr">
        <is>
          <t>basalt oceanic late Early to early Late Cretaceous accretionary complex</t>
        </is>
      </c>
      <c r="AA97" s="10" t="inlineStr">
        <is>
          <t>付加体</t>
        </is>
      </c>
      <c r="AB97" s="10" t="inlineStr">
        <is>
          <t>Accretionary complexes</t>
        </is>
      </c>
      <c r="AC97" s="10" t="inlineStr">
        <is>
          <t>Accretionary Complex</t>
        </is>
      </c>
    </row>
    <row r="98">
      <c r="A98" s="5" t="inlineStr">
        <is>
          <t>m200k_NI-52-12_u101</t>
        </is>
      </c>
      <c r="B98" s="6" t="inlineStr">
        <is>
          <t>col_5</t>
        </is>
      </c>
      <c r="C98" s="6" t="n">
        <v>26</v>
      </c>
      <c r="D98" s="7" t="inlineStr">
        <is>
          <t>Turonian Chert (Yatsushiro-Nomozaki Accretionary)</t>
        </is>
      </c>
      <c r="E98" s="5" t="inlineStr">
        <is>
          <t>Yatsushiro-Nomozaki Accretionary Complex</t>
        </is>
      </c>
      <c r="F98" s="6" t="inlineStr">
        <is>
          <t>Turonian</t>
        </is>
      </c>
      <c r="G98" s="8" t="n">
        <v>89.8</v>
      </c>
      <c r="H98" s="9">
        <f>IF(OR($F98="",$G98=""),"",IFERROR((VLOOKUP($F98,intervals!$A:$C,2,FALSE)-$G98)/(VLOOKUP($F98,intervals!$A:$C,2,FALSE)-VLOOKUP($F98,intervals!$A:$C,3,FALSE)),""))</f>
        <v/>
      </c>
      <c r="I98" s="6" t="inlineStr">
        <is>
          <t>Tithonian</t>
        </is>
      </c>
      <c r="J98" s="8" t="n">
        <v>149.2</v>
      </c>
      <c r="K98" s="9">
        <f>IF(OR($I98="",$J98=""),"",IFERROR((VLOOKUP($I98,intervals!$A:$C,2,FALSE)-$J98)/(VLOOKUP($I98,intervals!$A:$C,2,FALSE)-VLOOKUP($I98,intervals!$A:$C,3,FALSE)),""))</f>
        <v/>
      </c>
      <c r="L98" s="7" t="inlineStr">
        <is>
          <t>chert</t>
        </is>
      </c>
      <c r="M98" s="5" t="inlineStr"/>
      <c r="N98" s="5" t="inlineStr">
        <is>
          <t>marine</t>
        </is>
      </c>
      <c r="O98" s="5" t="inlineStr">
        <is>
          <t>Mesozoic Late Jurassic Tithonian - Late Cretaceous Turonian; chert Late Cretaceous accretionary complex [Accretionary Complex]</t>
        </is>
      </c>
      <c r="P98" s="5" t="inlineStr"/>
      <c r="Q98" s="5" t="inlineStr"/>
      <c r="R98" s="5" t="inlineStr">
        <is>
          <t>unknown</t>
        </is>
      </c>
      <c r="S98" s="5" t="inlineStr"/>
      <c r="T98" s="5" t="inlineStr">
        <is>
          <t>GSJ 200k Seamless J33-K212_soh_K2</t>
        </is>
      </c>
      <c r="U98" s="5" t="inlineStr"/>
      <c r="V98" s="10" t="inlineStr">
        <is>
          <t>J33-K212_soh_K2</t>
        </is>
      </c>
      <c r="W98" s="10" t="inlineStr">
        <is>
          <t>中生代 後期ジュラ紀 チトニアン期〜後期白亜紀 チューロニアン期</t>
        </is>
      </c>
      <c r="X98" s="10" t="inlineStr">
        <is>
          <t>Mesozoic Late Jurassic Tithonian - Late Cretaceous Turonian</t>
        </is>
      </c>
      <c r="Y98" s="10" t="inlineStr">
        <is>
          <t>チャート 後期白亜紀付加体</t>
        </is>
      </c>
      <c r="Z98" s="10" t="inlineStr">
        <is>
          <t>chert Late Cretaceous accretionary complex</t>
        </is>
      </c>
      <c r="AA98" s="10" t="inlineStr">
        <is>
          <t>付加体</t>
        </is>
      </c>
      <c r="AB98" s="10" t="inlineStr">
        <is>
          <t>Accretionary complexes</t>
        </is>
      </c>
      <c r="AC98" s="10" t="inlineStr">
        <is>
          <t>Accretionary Complex</t>
        </is>
      </c>
    </row>
    <row r="99">
      <c r="A99" s="5" t="inlineStr">
        <is>
          <t>m200k_NI-52-12_u102</t>
        </is>
      </c>
      <c r="B99" s="6" t="inlineStr">
        <is>
          <t>col_5</t>
        </is>
      </c>
      <c r="C99" s="6" t="n">
        <v>27</v>
      </c>
      <c r="D99" s="7" t="inlineStr">
        <is>
          <t>Turonian Basalt (Yatsushiro-Nomozaki Accretionary)</t>
        </is>
      </c>
      <c r="E99" s="5" t="inlineStr">
        <is>
          <t>Yatsushiro-Nomozaki Accretionary Complex</t>
        </is>
      </c>
      <c r="F99" s="6" t="inlineStr">
        <is>
          <t>Turonian</t>
        </is>
      </c>
      <c r="G99" s="8" t="n">
        <v>89.8</v>
      </c>
      <c r="H99" s="9">
        <f>IF(OR($F99="",$G99=""),"",IFERROR((VLOOKUP($F99,intervals!$A:$C,2,FALSE)-$G99)/(VLOOKUP($F99,intervals!$A:$C,2,FALSE)-VLOOKUP($F99,intervals!$A:$C,3,FALSE)),""))</f>
        <v/>
      </c>
      <c r="I99" s="6" t="inlineStr">
        <is>
          <t>Tithonian</t>
        </is>
      </c>
      <c r="J99" s="8" t="n">
        <v>149.2</v>
      </c>
      <c r="K99" s="9">
        <f>IF(OR($I99="",$J99=""),"",IFERROR((VLOOKUP($I99,intervals!$A:$C,2,FALSE)-$J99)/(VLOOKUP($I99,intervals!$A:$C,2,FALSE)-VLOOKUP($I99,intervals!$A:$C,3,FALSE)),""))</f>
        <v/>
      </c>
      <c r="L99" s="7" t="inlineStr">
        <is>
          <t>basalt</t>
        </is>
      </c>
      <c r="M99" s="5" t="inlineStr"/>
      <c r="N99" s="5" t="inlineStr">
        <is>
          <t>marine</t>
        </is>
      </c>
      <c r="O99" s="5" t="inlineStr">
        <is>
          <t>Mesozoic Late Jurassic Tithonian - Late Cretaceous Turonian; basalt oceanic Late Cretaceous accretionary complex [Accretionary Complex]</t>
        </is>
      </c>
      <c r="P99" s="5" t="inlineStr"/>
      <c r="Q99" s="5" t="inlineStr"/>
      <c r="R99" s="5" t="inlineStr">
        <is>
          <t>unknown</t>
        </is>
      </c>
      <c r="S99" s="5" t="inlineStr"/>
      <c r="T99" s="5" t="inlineStr">
        <is>
          <t>GSJ 200k Seamless J33-K212_vbs_o_K2</t>
        </is>
      </c>
      <c r="U99" s="5" t="inlineStr"/>
      <c r="V99" s="10" t="inlineStr">
        <is>
          <t>J33-K212_vbs_o_K2</t>
        </is>
      </c>
      <c r="W99" s="10" t="inlineStr">
        <is>
          <t>中生代 後期ジュラ紀 チトニアン期〜後期白亜紀 チューロニアン期</t>
        </is>
      </c>
      <c r="X99" s="10" t="inlineStr">
        <is>
          <t>Mesozoic Late Jurassic Tithonian - Late Cretaceous Turonian</t>
        </is>
      </c>
      <c r="Y99" s="10" t="inlineStr">
        <is>
          <t>玄武岩 海洋 後期白亜紀付加体</t>
        </is>
      </c>
      <c r="Z99" s="10" t="inlineStr">
        <is>
          <t>basalt oceanic Late Cretaceous accretionary complex</t>
        </is>
      </c>
      <c r="AA99" s="10" t="inlineStr">
        <is>
          <t>付加体</t>
        </is>
      </c>
      <c r="AB99" s="10" t="inlineStr">
        <is>
          <t>Accretionary complexes</t>
        </is>
      </c>
      <c r="AC99" s="10" t="inlineStr">
        <is>
          <t>Accretionary Complex</t>
        </is>
      </c>
    </row>
    <row r="100">
      <c r="A100" s="5" t="inlineStr">
        <is>
          <t>m200k_NI-52-12_u105</t>
        </is>
      </c>
      <c r="B100" s="6" t="inlineStr">
        <is>
          <t>col_5</t>
        </is>
      </c>
      <c r="C100" s="6" t="n">
        <v>28</v>
      </c>
      <c r="D100" s="7" t="inlineStr">
        <is>
          <t>Turonian Limestone (Yatsushiro-Nomozaki Accretionary)</t>
        </is>
      </c>
      <c r="E100" s="5" t="inlineStr">
        <is>
          <t>Yatsushiro-Nomozaki Accretionary Complex</t>
        </is>
      </c>
      <c r="F100" s="6" t="inlineStr">
        <is>
          <t>Turonian</t>
        </is>
      </c>
      <c r="G100" s="8" t="n">
        <v>89.8</v>
      </c>
      <c r="H100" s="9">
        <f>IF(OR($F100="",$G100=""),"",IFERROR((VLOOKUP($F100,intervals!$A:$C,2,FALSE)-$G100)/(VLOOKUP($F100,intervals!$A:$C,2,FALSE)-VLOOKUP($F100,intervals!$A:$C,3,FALSE)),""))</f>
        <v/>
      </c>
      <c r="I100" s="6" t="inlineStr">
        <is>
          <t>Tithonian</t>
        </is>
      </c>
      <c r="J100" s="8" t="n">
        <v>149.2</v>
      </c>
      <c r="K100" s="9">
        <f>IF(OR($I100="",$J100=""),"",IFERROR((VLOOKUP($I100,intervals!$A:$C,2,FALSE)-$J100)/(VLOOKUP($I100,intervals!$A:$C,2,FALSE)-VLOOKUP($I100,intervals!$A:$C,3,FALSE)),""))</f>
        <v/>
      </c>
      <c r="L100" s="7" t="inlineStr">
        <is>
          <t>limestone</t>
        </is>
      </c>
      <c r="M100" s="5" t="inlineStr"/>
      <c r="N100" s="5" t="inlineStr">
        <is>
          <t>marine</t>
        </is>
      </c>
      <c r="O100" s="5" t="inlineStr">
        <is>
          <t>Mesozoic Late Jurassic Tithonian - Late Cretaceous Turonian; marine limestone Late Cretaceous accretionary complex [Accretionary Complex]</t>
        </is>
      </c>
      <c r="P100" s="5" t="inlineStr"/>
      <c r="Q100" s="5" t="inlineStr"/>
      <c r="R100" s="5" t="inlineStr">
        <is>
          <t>unknown</t>
        </is>
      </c>
      <c r="S100" s="5" t="inlineStr"/>
      <c r="T100" s="5" t="inlineStr">
        <is>
          <t>GSJ 200k Seamless J33-K212_sol_K2</t>
        </is>
      </c>
      <c r="U100" s="5" t="inlineStr"/>
      <c r="V100" s="10" t="inlineStr">
        <is>
          <t>J33-K212_sol_K2</t>
        </is>
      </c>
      <c r="W100" s="10" t="inlineStr">
        <is>
          <t>中生代 後期ジュラ紀 チトニアン期〜後期白亜紀 チューロニアン期</t>
        </is>
      </c>
      <c r="X100" s="10" t="inlineStr">
        <is>
          <t>Mesozoic Late Jurassic Tithonian - Late Cretaceous Turonian</t>
        </is>
      </c>
      <c r="Y100" s="10" t="inlineStr">
        <is>
          <t>海成層 石灰岩 後期白亜紀付加体</t>
        </is>
      </c>
      <c r="Z100" s="10" t="inlineStr">
        <is>
          <t>marine limestone Late Cretaceous accretionary complex</t>
        </is>
      </c>
      <c r="AA100" s="10" t="inlineStr">
        <is>
          <t>付加体</t>
        </is>
      </c>
      <c r="AB100" s="10" t="inlineStr">
        <is>
          <t>Accretionary complexes</t>
        </is>
      </c>
      <c r="AC100" s="10" t="inlineStr">
        <is>
          <t>Accretionary Complex</t>
        </is>
      </c>
    </row>
    <row r="101">
      <c r="A101" s="5" t="inlineStr">
        <is>
          <t>m200k_NI-52-12_u112</t>
        </is>
      </c>
      <c r="B101" s="6" t="inlineStr">
        <is>
          <t>col_5</t>
        </is>
      </c>
      <c r="C101" s="6" t="n">
        <v>29</v>
      </c>
      <c r="D101" s="7" t="inlineStr">
        <is>
          <t>Turonian Mudstone (Yatsushiro-Nomozaki Accretionary)</t>
        </is>
      </c>
      <c r="E101" s="5" t="inlineStr">
        <is>
          <t>Yatsushiro-Nomozaki Accretionary Complex</t>
        </is>
      </c>
      <c r="F101" s="6" t="inlineStr">
        <is>
          <t>Turonian</t>
        </is>
      </c>
      <c r="G101" s="8" t="n">
        <v>89.8</v>
      </c>
      <c r="H101" s="9">
        <f>IF(OR($F101="",$G101=""),"",IFERROR((VLOOKUP($F101,intervals!$A:$C,2,FALSE)-$G101)/(VLOOKUP($F101,intervals!$A:$C,2,FALSE)-VLOOKUP($F101,intervals!$A:$C,3,FALSE)),""))</f>
        <v/>
      </c>
      <c r="I101" s="6" t="inlineStr">
        <is>
          <t>Tithonian</t>
        </is>
      </c>
      <c r="J101" s="8" t="n">
        <v>149.2</v>
      </c>
      <c r="K101" s="9">
        <f>IF(OR($I101="",$J101=""),"",IFERROR((VLOOKUP($I101,intervals!$A:$C,2,FALSE)-$J101)/(VLOOKUP($I101,intervals!$A:$C,2,FALSE)-VLOOKUP($I101,intervals!$A:$C,3,FALSE)),""))</f>
        <v/>
      </c>
      <c r="L101" s="7" t="inlineStr">
        <is>
          <t>mudstone</t>
        </is>
      </c>
      <c r="M101" s="5" t="inlineStr"/>
      <c r="N101" s="5" t="inlineStr">
        <is>
          <t>marine</t>
        </is>
      </c>
      <c r="O101" s="5" t="inlineStr">
        <is>
          <t>Mesozoic Late Jurassic Tithonian - Late Cretaceous Turonian; red or green mudstone Late Cretaceous accretionary complex [Accretionary Complex]</t>
        </is>
      </c>
      <c r="P101" s="5" t="inlineStr"/>
      <c r="Q101" s="5" t="inlineStr"/>
      <c r="R101" s="5" t="inlineStr">
        <is>
          <t>unknown</t>
        </is>
      </c>
      <c r="S101" s="5" t="inlineStr"/>
      <c r="T101" s="5" t="inlineStr">
        <is>
          <t>GSJ 200k Seamless J33-K212_sor_K2</t>
        </is>
      </c>
      <c r="U101" s="5" t="inlineStr"/>
      <c r="V101" s="10" t="inlineStr">
        <is>
          <t>J33-K212_sor_K2</t>
        </is>
      </c>
      <c r="W101" s="10" t="inlineStr">
        <is>
          <t>中生代 後期ジュラ紀 チトニアン期〜後期白亜紀 チューロニアン期</t>
        </is>
      </c>
      <c r="X101" s="10" t="inlineStr">
        <is>
          <t>Mesozoic Late Jurassic Tithonian - Late Cretaceous Turonian</t>
        </is>
      </c>
      <c r="Y101" s="10" t="inlineStr">
        <is>
          <t>多色泥岩 後期白亜紀付加体</t>
        </is>
      </c>
      <c r="Z101" s="10" t="inlineStr">
        <is>
          <t>red or green mudstone Late Cretaceous accretionary complex</t>
        </is>
      </c>
      <c r="AA101" s="10" t="inlineStr">
        <is>
          <t>付加体</t>
        </is>
      </c>
      <c r="AB101" s="10" t="inlineStr">
        <is>
          <t>Accretionary complexes</t>
        </is>
      </c>
      <c r="AC101" s="10" t="inlineStr">
        <is>
          <t>Accretionary Complex</t>
        </is>
      </c>
    </row>
    <row r="102">
      <c r="A102" s="5" t="inlineStr">
        <is>
          <t>m200k_NI-52-12_u086</t>
        </is>
      </c>
      <c r="B102" s="6" t="inlineStr">
        <is>
          <t>col_5</t>
        </is>
      </c>
      <c r="C102" s="6" t="n">
        <v>30</v>
      </c>
      <c r="D102" s="7" t="inlineStr">
        <is>
          <t>Turonian Sandstone (Yatsushiro-Nomozaki Accretionary)</t>
        </is>
      </c>
      <c r="E102" s="5" t="inlineStr">
        <is>
          <t>Yatsushiro-Nomozaki Accretionary Complex</t>
        </is>
      </c>
      <c r="F102" s="6" t="inlineStr">
        <is>
          <t>Turonian</t>
        </is>
      </c>
      <c r="G102" s="8" t="n">
        <v>89.8</v>
      </c>
      <c r="H102" s="9">
        <f>IF(OR($F102="",$G102=""),"",IFERROR((VLOOKUP($F102,intervals!$A:$C,2,FALSE)-$G102)/(VLOOKUP($F102,intervals!$A:$C,2,FALSE)-VLOOKUP($F102,intervals!$A:$C,3,FALSE)),""))</f>
        <v/>
      </c>
      <c r="I102" s="6" t="inlineStr">
        <is>
          <t>Aptian</t>
        </is>
      </c>
      <c r="J102" s="8" t="n">
        <v>121.4</v>
      </c>
      <c r="K102" s="9">
        <f>IF(OR($I102="",$J102=""),"",IFERROR((VLOOKUP($I102,intervals!$A:$C,2,FALSE)-$J102)/(VLOOKUP($I102,intervals!$A:$C,2,FALSE)-VLOOKUP($I102,intervals!$A:$C,3,FALSE)),""))</f>
        <v/>
      </c>
      <c r="L102" s="7" t="inlineStr">
        <is>
          <t>sandstone</t>
        </is>
      </c>
      <c r="M102" s="5" t="inlineStr">
        <is>
          <t>mudstone</t>
        </is>
      </c>
      <c r="N102" s="5" t="inlineStr">
        <is>
          <t>marine</t>
        </is>
      </c>
      <c r="O102" s="5" t="inlineStr">
        <is>
          <t>Mesozoic Early Cretaceous Aptian - Late Cretaceous Turonian; mandstone-predominant alternation of   sandstone &amp; mudstone late Early to early Late Cretaceous accretionary complex [Accretionary Complex]</t>
        </is>
      </c>
      <c r="P102" s="5" t="inlineStr"/>
      <c r="Q102" s="5" t="inlineStr"/>
      <c r="R102" s="5" t="inlineStr">
        <is>
          <t>unknown</t>
        </is>
      </c>
      <c r="S102" s="5" t="inlineStr"/>
      <c r="T102" s="5" t="inlineStr">
        <is>
          <t>GSJ 200k Seamless K12-212_somam_K1</t>
        </is>
      </c>
      <c r="U102" s="5" t="inlineStr"/>
      <c r="V102" s="10" t="inlineStr">
        <is>
          <t>K12-212_somam_K1</t>
        </is>
      </c>
      <c r="W102" s="10" t="inlineStr">
        <is>
          <t>中生代 前期白亜紀 アプチアン期〜後期白亜紀 チューロニアン期</t>
        </is>
      </c>
      <c r="X102" s="10" t="inlineStr">
        <is>
          <t>Mesozoic Early Cretaceous Aptian - Late Cretaceous Turonian</t>
        </is>
      </c>
      <c r="Y102" s="10" t="inlineStr">
        <is>
          <t>泥岩砂岩互層 前期白亜紀後期-後期白亜紀前期付加体</t>
        </is>
      </c>
      <c r="Z102" s="10" t="inlineStr">
        <is>
          <t>mandstone-predominant alternation of   sandstone &amp; mudstone late Early to early Late Cretaceous accretionary complex</t>
        </is>
      </c>
      <c r="AA102" s="10" t="inlineStr">
        <is>
          <t>付加体</t>
        </is>
      </c>
      <c r="AB102" s="10" t="inlineStr">
        <is>
          <t>Accretionary complexes</t>
        </is>
      </c>
      <c r="AC102" s="10" t="inlineStr">
        <is>
          <t>Accretionary Complex</t>
        </is>
      </c>
    </row>
    <row r="103">
      <c r="A103" s="5" t="inlineStr">
        <is>
          <t>m200k_NI-52-12_u087</t>
        </is>
      </c>
      <c r="B103" s="6" t="inlineStr">
        <is>
          <t>col_5</t>
        </is>
      </c>
      <c r="C103" s="6" t="n">
        <v>31</v>
      </c>
      <c r="D103" s="7" t="inlineStr">
        <is>
          <t>Turonian Sandstone (Yatsushiro-Nomozaki Accretionary)</t>
        </is>
      </c>
      <c r="E103" s="5" t="inlineStr">
        <is>
          <t>Yatsushiro-Nomozaki Accretionary Complex</t>
        </is>
      </c>
      <c r="F103" s="6" t="inlineStr">
        <is>
          <t>Turonian</t>
        </is>
      </c>
      <c r="G103" s="8" t="n">
        <v>89.8</v>
      </c>
      <c r="H103" s="9">
        <f>IF(OR($F103="",$G103=""),"",IFERROR((VLOOKUP($F103,intervals!$A:$C,2,FALSE)-$G103)/(VLOOKUP($F103,intervals!$A:$C,2,FALSE)-VLOOKUP($F103,intervals!$A:$C,3,FALSE)),""))</f>
        <v/>
      </c>
      <c r="I103" s="6" t="inlineStr">
        <is>
          <t>Aptian</t>
        </is>
      </c>
      <c r="J103" s="8" t="n">
        <v>121.4</v>
      </c>
      <c r="K103" s="9">
        <f>IF(OR($I103="",$J103=""),"",IFERROR((VLOOKUP($I103,intervals!$A:$C,2,FALSE)-$J103)/(VLOOKUP($I103,intervals!$A:$C,2,FALSE)-VLOOKUP($I103,intervals!$A:$C,3,FALSE)),""))</f>
        <v/>
      </c>
      <c r="L103" s="7" t="inlineStr">
        <is>
          <t>sandstone</t>
        </is>
      </c>
      <c r="M103" s="5" t="inlineStr">
        <is>
          <t>mudstone</t>
        </is>
      </c>
      <c r="N103" s="5" t="inlineStr">
        <is>
          <t>marine</t>
        </is>
      </c>
      <c r="O103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03" s="5" t="inlineStr"/>
      <c r="Q103" s="5" t="inlineStr"/>
      <c r="R103" s="5" t="inlineStr">
        <is>
          <t>unknown</t>
        </is>
      </c>
      <c r="S103" s="5" t="inlineStr"/>
      <c r="T103" s="5" t="inlineStr">
        <is>
          <t>GSJ 200k Seamless K12-212_somas_K1</t>
        </is>
      </c>
      <c r="U103" s="5" t="inlineStr"/>
      <c r="V103" s="10" t="inlineStr">
        <is>
          <t>K12-212_somas_K1</t>
        </is>
      </c>
      <c r="W103" s="10" t="inlineStr">
        <is>
          <t>中生代 前期白亜紀 アプチアン期〜後期白亜紀 チューロニアン期</t>
        </is>
      </c>
      <c r="X103" s="10" t="inlineStr">
        <is>
          <t>Mesozoic Early Cretaceous Aptian - Late Cretaceous Turonian</t>
        </is>
      </c>
      <c r="Y103" s="10" t="inlineStr">
        <is>
          <t>砂岩泥岩互層 前期白亜紀後期-後期白亜紀前期付加体</t>
        </is>
      </c>
      <c r="Z103" s="10" t="inlineStr">
        <is>
          <t>sandstone-predominant alternation of sandstone &amp; mudstone late Early to early Late Cretaceous accretionary complex</t>
        </is>
      </c>
      <c r="AA103" s="10" t="inlineStr">
        <is>
          <t>付加体</t>
        </is>
      </c>
      <c r="AB103" s="10" t="inlineStr">
        <is>
          <t>Accretionary complexes</t>
        </is>
      </c>
      <c r="AC103" s="10" t="inlineStr">
        <is>
          <t>Accretionary Complex</t>
        </is>
      </c>
    </row>
    <row r="104">
      <c r="A104" s="5" t="inlineStr">
        <is>
          <t>m200k_NI-52-12_u088</t>
        </is>
      </c>
      <c r="B104" s="6" t="inlineStr">
        <is>
          <t>col_5</t>
        </is>
      </c>
      <c r="C104" s="6" t="n">
        <v>32</v>
      </c>
      <c r="D104" s="7" t="inlineStr">
        <is>
          <t>Turonian Conglomerate (Yatsushiro-Nomozaki Accretionary)</t>
        </is>
      </c>
      <c r="E104" s="5" t="inlineStr">
        <is>
          <t>Yatsushiro-Nomozaki Accretionary Complex</t>
        </is>
      </c>
      <c r="F104" s="6" t="inlineStr">
        <is>
          <t>Turonian</t>
        </is>
      </c>
      <c r="G104" s="8" t="n">
        <v>89.8</v>
      </c>
      <c r="H104" s="9">
        <f>IF(OR($F104="",$G104=""),"",IFERROR((VLOOKUP($F104,intervals!$A:$C,2,FALSE)-$G104)/(VLOOKUP($F104,intervals!$A:$C,2,FALSE)-VLOOKUP($F104,intervals!$A:$C,3,FALSE)),""))</f>
        <v/>
      </c>
      <c r="I104" s="6" t="inlineStr">
        <is>
          <t>Aptian</t>
        </is>
      </c>
      <c r="J104" s="8" t="n">
        <v>121.4</v>
      </c>
      <c r="K104" s="9">
        <f>IF(OR($I104="",$J104=""),"",IFERROR((VLOOKUP($I104,intervals!$A:$C,2,FALSE)-$J104)/(VLOOKUP($I104,intervals!$A:$C,2,FALSE)-VLOOKUP($I104,intervals!$A:$C,3,FALSE)),""))</f>
        <v/>
      </c>
      <c r="L104" s="7" t="inlineStr">
        <is>
          <t>conglomerate</t>
        </is>
      </c>
      <c r="M104" s="5" t="inlineStr"/>
      <c r="N104" s="5" t="inlineStr">
        <is>
          <t>marine</t>
        </is>
      </c>
      <c r="O104" s="5" t="inlineStr">
        <is>
          <t>Mesozoic Early Cretaceous Aptian - Late Cretaceous Turonian; marine conglomerate late Early to early Late Cretaceous accretionary complex [Accretionary Complex]</t>
        </is>
      </c>
      <c r="P104" s="5" t="inlineStr"/>
      <c r="Q104" s="5" t="inlineStr"/>
      <c r="R104" s="5" t="inlineStr">
        <is>
          <t>unknown</t>
        </is>
      </c>
      <c r="S104" s="5" t="inlineStr"/>
      <c r="T104" s="5" t="inlineStr">
        <is>
          <t>GSJ 200k Seamless K12-212_soc_K1</t>
        </is>
      </c>
      <c r="U104" s="5" t="inlineStr"/>
      <c r="V104" s="10" t="inlineStr">
        <is>
          <t>K12-212_soc_K1</t>
        </is>
      </c>
      <c r="W104" s="10" t="inlineStr">
        <is>
          <t>中生代 前期白亜紀 アプチアン期〜後期白亜紀 チューロニアン期</t>
        </is>
      </c>
      <c r="X104" s="10" t="inlineStr">
        <is>
          <t>Mesozoic Early Cretaceous Aptian - Late Cretaceous Turonian</t>
        </is>
      </c>
      <c r="Y104" s="10" t="inlineStr">
        <is>
          <t>海成層 礫岩 前期白亜紀後期-後期白亜紀前期付加体</t>
        </is>
      </c>
      <c r="Z104" s="10" t="inlineStr">
        <is>
          <t>marine conglomerate late Early to early Late Cretaceous accretionary complex</t>
        </is>
      </c>
      <c r="AA104" s="10" t="inlineStr">
        <is>
          <t>付加体</t>
        </is>
      </c>
      <c r="AB104" s="10" t="inlineStr">
        <is>
          <t>Accretionary complexes</t>
        </is>
      </c>
      <c r="AC104" s="10" t="inlineStr">
        <is>
          <t>Accretionary Complex</t>
        </is>
      </c>
    </row>
    <row r="105">
      <c r="A105" s="5" t="inlineStr">
        <is>
          <t>m200k_NI-52-12_u092</t>
        </is>
      </c>
      <c r="B105" s="6" t="inlineStr">
        <is>
          <t>col_5</t>
        </is>
      </c>
      <c r="C105" s="6" t="n">
        <v>33</v>
      </c>
      <c r="D105" s="7" t="inlineStr">
        <is>
          <t>Turonian Sandstone (Yatsushiro-Nomozaki Accretionary)</t>
        </is>
      </c>
      <c r="E105" s="5" t="inlineStr">
        <is>
          <t>Yatsushiro-Nomozaki Accretionary Complex</t>
        </is>
      </c>
      <c r="F105" s="6" t="inlineStr">
        <is>
          <t>Turonian</t>
        </is>
      </c>
      <c r="G105" s="8" t="n">
        <v>89.8</v>
      </c>
      <c r="H105" s="9">
        <f>IF(OR($F105="",$G105=""),"",IFERROR((VLOOKUP($F105,intervals!$A:$C,2,FALSE)-$G105)/(VLOOKUP($F105,intervals!$A:$C,2,FALSE)-VLOOKUP($F105,intervals!$A:$C,3,FALSE)),""))</f>
        <v/>
      </c>
      <c r="I105" s="6" t="inlineStr">
        <is>
          <t>Aptian</t>
        </is>
      </c>
      <c r="J105" s="8" t="n">
        <v>121.4</v>
      </c>
      <c r="K105" s="9">
        <f>IF(OR($I105="",$J105=""),"",IFERROR((VLOOKUP($I105,intervals!$A:$C,2,FALSE)-$J105)/(VLOOKUP($I105,intervals!$A:$C,2,FALSE)-VLOOKUP($I105,intervals!$A:$C,3,FALSE)),""))</f>
        <v/>
      </c>
      <c r="L105" s="7" t="inlineStr">
        <is>
          <t>sandstone</t>
        </is>
      </c>
      <c r="M105" s="5" t="inlineStr"/>
      <c r="N105" s="5" t="inlineStr">
        <is>
          <t>marine</t>
        </is>
      </c>
      <c r="O105" s="5" t="inlineStr">
        <is>
          <t>Mesozoic Early Cretaceous Aptian - Late Cretaceous Turonian; marine sandstone late Early to early Late Cretaceous accretionary complex [Accretionary Complex]</t>
        </is>
      </c>
      <c r="P105" s="5" t="inlineStr"/>
      <c r="Q105" s="5" t="inlineStr"/>
      <c r="R105" s="5" t="inlineStr">
        <is>
          <t>unknown</t>
        </is>
      </c>
      <c r="S105" s="5" t="inlineStr"/>
      <c r="T105" s="5" t="inlineStr">
        <is>
          <t>GSJ 200k Seamless K12-212_soss_K1</t>
        </is>
      </c>
      <c r="U105" s="5" t="inlineStr"/>
      <c r="V105" s="10" t="inlineStr">
        <is>
          <t>K12-212_soss_K1</t>
        </is>
      </c>
      <c r="W105" s="10" t="inlineStr">
        <is>
          <t>中生代 前期白亜紀 アプチアン期〜後期白亜紀 チューロニアン期</t>
        </is>
      </c>
      <c r="X105" s="10" t="inlineStr">
        <is>
          <t>Mesozoic Early Cretaceous Aptian - Late Cretaceous Turonian</t>
        </is>
      </c>
      <c r="Y105" s="10" t="inlineStr">
        <is>
          <t>海成層 砂岩 前期白亜紀後期-後期白亜紀前期付加体</t>
        </is>
      </c>
      <c r="Z105" s="10" t="inlineStr">
        <is>
          <t>marine sandstone late Early to early Late Cretaceous accretionary complex</t>
        </is>
      </c>
      <c r="AA105" s="10" t="inlineStr">
        <is>
          <t>付加体</t>
        </is>
      </c>
      <c r="AB105" s="10" t="inlineStr">
        <is>
          <t>Accretionary complexes</t>
        </is>
      </c>
      <c r="AC105" s="10" t="inlineStr">
        <is>
          <t>Accretionary Complex</t>
        </is>
      </c>
    </row>
    <row r="106">
      <c r="A106" s="5" t="inlineStr">
        <is>
          <t>m200k_NI-52-12_u094</t>
        </is>
      </c>
      <c r="B106" s="6" t="inlineStr">
        <is>
          <t>col_5</t>
        </is>
      </c>
      <c r="C106" s="6" t="n">
        <v>34</v>
      </c>
      <c r="D106" s="7" t="inlineStr">
        <is>
          <t>Turonian Mudstone (Yatsushiro-Nomozaki Accretionary)</t>
        </is>
      </c>
      <c r="E106" s="5" t="inlineStr">
        <is>
          <t>Yatsushiro-Nomozaki Accretionary Complex</t>
        </is>
      </c>
      <c r="F106" s="6" t="inlineStr">
        <is>
          <t>Turonian</t>
        </is>
      </c>
      <c r="G106" s="8" t="n">
        <v>89.8</v>
      </c>
      <c r="H106" s="9">
        <f>IF(OR($F106="",$G106=""),"",IFERROR((VLOOKUP($F106,intervals!$A:$C,2,FALSE)-$G106)/(VLOOKUP($F106,intervals!$A:$C,2,FALSE)-VLOOKUP($F106,intervals!$A:$C,3,FALSE)),""))</f>
        <v/>
      </c>
      <c r="I106" s="6" t="inlineStr">
        <is>
          <t>Aptian</t>
        </is>
      </c>
      <c r="J106" s="8" t="n">
        <v>121.4</v>
      </c>
      <c r="K106" s="9">
        <f>IF(OR($I106="",$J106=""),"",IFERROR((VLOOKUP($I106,intervals!$A:$C,2,FALSE)-$J106)/(VLOOKUP($I106,intervals!$A:$C,2,FALSE)-VLOOKUP($I106,intervals!$A:$C,3,FALSE)),""))</f>
        <v/>
      </c>
      <c r="L106" s="7" t="inlineStr">
        <is>
          <t>mudstone</t>
        </is>
      </c>
      <c r="M106" s="5" t="inlineStr"/>
      <c r="N106" s="5" t="inlineStr">
        <is>
          <t>marine</t>
        </is>
      </c>
      <c r="O106" s="5" t="inlineStr">
        <is>
          <t>Mesozoic Early Cretaceous Aptian - Late Cretaceous Turonian; marine mudstone late Early to early Late Cretaceous accretionary complex [Accretionary Complex]</t>
        </is>
      </c>
      <c r="P106" s="5" t="inlineStr"/>
      <c r="Q106" s="5" t="inlineStr"/>
      <c r="R106" s="5" t="inlineStr">
        <is>
          <t>unknown</t>
        </is>
      </c>
      <c r="S106" s="5" t="inlineStr"/>
      <c r="T106" s="5" t="inlineStr">
        <is>
          <t>GSJ 200k Seamless K12-212_som_K1</t>
        </is>
      </c>
      <c r="U106" s="5" t="inlineStr"/>
      <c r="V106" s="10" t="inlineStr">
        <is>
          <t>K12-212_som_K1</t>
        </is>
      </c>
      <c r="W106" s="10" t="inlineStr">
        <is>
          <t>中生代 前期白亜紀 アプチアン期〜後期白亜紀 チューロニアン期</t>
        </is>
      </c>
      <c r="X106" s="10" t="inlineStr">
        <is>
          <t>Mesozoic Early Cretaceous Aptian - Late Cretaceous Turonian</t>
        </is>
      </c>
      <c r="Y106" s="10" t="inlineStr">
        <is>
          <t>海成層 泥岩 前期白亜紀後期-後期白亜紀前期付加体</t>
        </is>
      </c>
      <c r="Z106" s="10" t="inlineStr">
        <is>
          <t>marine mudstone late Early to early Late Cretaceous accretionary complex</t>
        </is>
      </c>
      <c r="AA106" s="10" t="inlineStr">
        <is>
          <t>付加体</t>
        </is>
      </c>
      <c r="AB106" s="10" t="inlineStr">
        <is>
          <t>Accretionary complexes</t>
        </is>
      </c>
      <c r="AC106" s="10" t="inlineStr">
        <is>
          <t>Accretionary Complex</t>
        </is>
      </c>
    </row>
    <row r="107">
      <c r="A107" s="5" t="inlineStr">
        <is>
          <t>m200k_NI-52-12_u097</t>
        </is>
      </c>
      <c r="B107" s="6" t="inlineStr">
        <is>
          <t>col_5</t>
        </is>
      </c>
      <c r="C107" s="6" t="n">
        <v>35</v>
      </c>
      <c r="D107" s="7" t="inlineStr">
        <is>
          <t>Turonian Sedimentary (Yatsushiro-Nomozaki Accretionary)</t>
        </is>
      </c>
      <c r="E107" s="5" t="inlineStr">
        <is>
          <t>Yatsushiro-Nomozaki Accretionary Complex</t>
        </is>
      </c>
      <c r="F107" s="6" t="inlineStr">
        <is>
          <t>Turonian</t>
        </is>
      </c>
      <c r="G107" s="8" t="n">
        <v>89.8</v>
      </c>
      <c r="H107" s="9">
        <f>IF(OR($F107="",$G107=""),"",IFERROR((VLOOKUP($F107,intervals!$A:$C,2,FALSE)-$G107)/(VLOOKUP($F107,intervals!$A:$C,2,FALSE)-VLOOKUP($F107,intervals!$A:$C,3,FALSE)),""))</f>
        <v/>
      </c>
      <c r="I107" s="6" t="inlineStr">
        <is>
          <t>Aptian</t>
        </is>
      </c>
      <c r="J107" s="8" t="n">
        <v>121.4</v>
      </c>
      <c r="K107" s="9">
        <f>IF(OR($I107="",$J107=""),"",IFERROR((VLOOKUP($I107,intervals!$A:$C,2,FALSE)-$J107)/(VLOOKUP($I107,intervals!$A:$C,2,FALSE)-VLOOKUP($I107,intervals!$A:$C,3,FALSE)),""))</f>
        <v/>
      </c>
      <c r="L107" s="7" t="inlineStr">
        <is>
          <t>sedimentary</t>
        </is>
      </c>
      <c r="M107" s="5" t="inlineStr"/>
      <c r="N107" s="5" t="inlineStr">
        <is>
          <t>marine</t>
        </is>
      </c>
      <c r="O107" s="5" t="inlineStr">
        <is>
          <t>Mesozoic Early Cretaceous Aptian - Late Cretaceous Turonian; mixed rock late Early to early Late Cretaceous accretionary complex [Accretionary Complex]</t>
        </is>
      </c>
      <c r="P107" s="5" t="inlineStr"/>
      <c r="Q107" s="5" t="inlineStr"/>
      <c r="R107" s="5" t="inlineStr">
        <is>
          <t>unknown</t>
        </is>
      </c>
      <c r="S107" s="5" t="inlineStr"/>
      <c r="T107" s="5" t="inlineStr">
        <is>
          <t>GSJ 200k Seamless K12-212_sx_K1</t>
        </is>
      </c>
      <c r="U107" s="5" t="inlineStr"/>
      <c r="V107" s="10" t="inlineStr">
        <is>
          <t>K12-212_sx_K1</t>
        </is>
      </c>
      <c r="W107" s="10" t="inlineStr">
        <is>
          <t>中生代 前期白亜紀 アプチアン期〜後期白亜紀 チューロニアン期</t>
        </is>
      </c>
      <c r="X107" s="10" t="inlineStr">
        <is>
          <t>Mesozoic Early Cretaceous Aptian - Late Cretaceous Turonian</t>
        </is>
      </c>
      <c r="Y107" s="10" t="inlineStr">
        <is>
          <t>混在岩 前期白亜紀後期-後期白亜紀前期付加体</t>
        </is>
      </c>
      <c r="Z107" s="10" t="inlineStr">
        <is>
          <t>mixed rock late Early to early Late Cretaceous accretionary complex</t>
        </is>
      </c>
      <c r="AA107" s="10" t="inlineStr">
        <is>
          <t>付加体</t>
        </is>
      </c>
      <c r="AB107" s="10" t="inlineStr">
        <is>
          <t>Accretionary complexes</t>
        </is>
      </c>
      <c r="AC107" s="10" t="inlineStr">
        <is>
          <t>Accretionary Complex</t>
        </is>
      </c>
    </row>
    <row r="108">
      <c r="A108" s="5" t="inlineStr">
        <is>
          <t>m200k_NI-52-12_u098</t>
        </is>
      </c>
      <c r="B108" s="6" t="inlineStr">
        <is>
          <t>col_5</t>
        </is>
      </c>
      <c r="C108" s="6" t="n">
        <v>36</v>
      </c>
      <c r="D108" s="7" t="inlineStr">
        <is>
          <t>Maastrichtian Sedimentary (Yatsushiro-Nomozaki Accretionary)</t>
        </is>
      </c>
      <c r="E108" s="5" t="inlineStr">
        <is>
          <t>Yatsushiro-Nomozaki Accretionary Complex</t>
        </is>
      </c>
      <c r="F108" s="6" t="inlineStr">
        <is>
          <t>Maastrichtian</t>
        </is>
      </c>
      <c r="G108" s="8" t="n">
        <v>66</v>
      </c>
      <c r="H108" s="9">
        <f>IF(OR($F108="",$G108=""),"",IFERROR((VLOOKUP($F108,intervals!$A:$C,2,FALSE)-$G108)/(VLOOKUP($F108,intervals!$A:$C,2,FALSE)-VLOOKUP($F108,intervals!$A:$C,3,FALSE)),""))</f>
        <v/>
      </c>
      <c r="I108" s="6" t="inlineStr">
        <is>
          <t>Turonian</t>
        </is>
      </c>
      <c r="J108" s="8" t="n">
        <v>93.90000000000001</v>
      </c>
      <c r="K108" s="9">
        <f>IF(OR($I108="",$J108=""),"",IFERROR((VLOOKUP($I108,intervals!$A:$C,2,FALSE)-$J108)/(VLOOKUP($I108,intervals!$A:$C,2,FALSE)-VLOOKUP($I108,intervals!$A:$C,3,FALSE)),""))</f>
        <v/>
      </c>
      <c r="L108" s="7" t="inlineStr">
        <is>
          <t>sedimentary</t>
        </is>
      </c>
      <c r="M108" s="5" t="inlineStr"/>
      <c r="N108" s="5" t="inlineStr">
        <is>
          <t>marine</t>
        </is>
      </c>
      <c r="O108" s="5" t="inlineStr">
        <is>
          <t>Mesozoic Late Cretaceous Turonian - Maastrichtian; mixed rock Late Cretaceous accretionary complex [Accretionary Complex]</t>
        </is>
      </c>
      <c r="P108" s="5" t="inlineStr"/>
      <c r="Q108" s="5" t="inlineStr"/>
      <c r="R108" s="5" t="inlineStr">
        <is>
          <t>unknown</t>
        </is>
      </c>
      <c r="S108" s="5" t="inlineStr"/>
      <c r="T108" s="5" t="inlineStr">
        <is>
          <t>GSJ 200k Seamless K212-22_sx_K2</t>
        </is>
      </c>
      <c r="U108" s="5" t="inlineStr"/>
      <c r="V108" s="10" t="inlineStr">
        <is>
          <t>K212-22_sx_K2</t>
        </is>
      </c>
      <c r="W108" s="10" t="inlineStr">
        <is>
          <t>中生代 後期白亜紀 チューロニアン期〜マーストリヒチアン期</t>
        </is>
      </c>
      <c r="X108" s="10" t="inlineStr">
        <is>
          <t>Mesozoic Late Cretaceous Turonian - Maastrichtian</t>
        </is>
      </c>
      <c r="Y108" s="10" t="inlineStr">
        <is>
          <t>混在岩 後期白亜紀付加体</t>
        </is>
      </c>
      <c r="Z108" s="10" t="inlineStr">
        <is>
          <t>mixed rock Late Cretaceous accretionary complex</t>
        </is>
      </c>
      <c r="AA108" s="10" t="inlineStr">
        <is>
          <t>付加体</t>
        </is>
      </c>
      <c r="AB108" s="10" t="inlineStr">
        <is>
          <t>Accretionary complexes</t>
        </is>
      </c>
      <c r="AC108" s="10" t="inlineStr">
        <is>
          <t>Accretionary Complex</t>
        </is>
      </c>
    </row>
    <row r="109">
      <c r="A109" s="5" t="inlineStr">
        <is>
          <t>m200k_NI-52-12_u099</t>
        </is>
      </c>
      <c r="B109" s="6" t="inlineStr">
        <is>
          <t>col_5</t>
        </is>
      </c>
      <c r="C109" s="6" t="n">
        <v>37</v>
      </c>
      <c r="D109" s="7" t="inlineStr">
        <is>
          <t>Maastrichtian Sandstone (Yatsushiro-Nomozaki Accretionary)</t>
        </is>
      </c>
      <c r="E109" s="5" t="inlineStr">
        <is>
          <t>Yatsushiro-Nomozaki Accretionary Complex</t>
        </is>
      </c>
      <c r="F109" s="6" t="inlineStr">
        <is>
          <t>Maastrichtian</t>
        </is>
      </c>
      <c r="G109" s="8" t="n">
        <v>66</v>
      </c>
      <c r="H109" s="9">
        <f>IF(OR($F109="",$G109=""),"",IFERROR((VLOOKUP($F109,intervals!$A:$C,2,FALSE)-$G109)/(VLOOKUP($F109,intervals!$A:$C,2,FALSE)-VLOOKUP($F109,intervals!$A:$C,3,FALSE)),""))</f>
        <v/>
      </c>
      <c r="I109" s="6" t="inlineStr">
        <is>
          <t>Turonian</t>
        </is>
      </c>
      <c r="J109" s="8" t="n">
        <v>93.90000000000001</v>
      </c>
      <c r="K109" s="9">
        <f>IF(OR($I109="",$J109=""),"",IFERROR((VLOOKUP($I109,intervals!$A:$C,2,FALSE)-$J109)/(VLOOKUP($I109,intervals!$A:$C,2,FALSE)-VLOOKUP($I109,intervals!$A:$C,3,FALSE)),""))</f>
        <v/>
      </c>
      <c r="L109" s="7" t="inlineStr">
        <is>
          <t>sandstone</t>
        </is>
      </c>
      <c r="M109" s="5" t="inlineStr"/>
      <c r="N109" s="5" t="inlineStr">
        <is>
          <t>marine</t>
        </is>
      </c>
      <c r="O109" s="5" t="inlineStr">
        <is>
          <t>Mesozoic Late Cretaceous Turonian - Maastrichtian; marine sandstone Late Cretaceous accretionary complex [Accretionary Complex]</t>
        </is>
      </c>
      <c r="P109" s="5" t="inlineStr"/>
      <c r="Q109" s="5" t="inlineStr"/>
      <c r="R109" s="5" t="inlineStr">
        <is>
          <t>unknown</t>
        </is>
      </c>
      <c r="S109" s="5" t="inlineStr"/>
      <c r="T109" s="5" t="inlineStr">
        <is>
          <t>GSJ 200k Seamless K212-22_soss_K2</t>
        </is>
      </c>
      <c r="U109" s="5" t="inlineStr"/>
      <c r="V109" s="10" t="inlineStr">
        <is>
          <t>K212-22_soss_K2</t>
        </is>
      </c>
      <c r="W109" s="10" t="inlineStr">
        <is>
          <t>中生代 後期白亜紀 チューロニアン期〜マーストリヒチアン期</t>
        </is>
      </c>
      <c r="X109" s="10" t="inlineStr">
        <is>
          <t>Mesozoic Late Cretaceous Turonian - Maastrichtian</t>
        </is>
      </c>
      <c r="Y109" s="10" t="inlineStr">
        <is>
          <t>海成層 砂岩 後期白亜紀付加体</t>
        </is>
      </c>
      <c r="Z109" s="10" t="inlineStr">
        <is>
          <t>marine sandstone Late Cretaceous accretionary complex</t>
        </is>
      </c>
      <c r="AA109" s="10" t="inlineStr">
        <is>
          <t>付加体</t>
        </is>
      </c>
      <c r="AB109" s="10" t="inlineStr">
        <is>
          <t>Accretionary complexes</t>
        </is>
      </c>
      <c r="AC109" s="10" t="inlineStr">
        <is>
          <t>Accretionary Complex</t>
        </is>
      </c>
    </row>
    <row r="110">
      <c r="A110" s="5" t="inlineStr">
        <is>
          <t>m200k_NI-52-12_u103</t>
        </is>
      </c>
      <c r="B110" s="6" t="inlineStr">
        <is>
          <t>col_5</t>
        </is>
      </c>
      <c r="C110" s="6" t="n">
        <v>38</v>
      </c>
      <c r="D110" s="7" t="inlineStr">
        <is>
          <t>Maastrichtian Conglomerate (Yatsushiro-Nomozaki Accretionary)</t>
        </is>
      </c>
      <c r="E110" s="5" t="inlineStr">
        <is>
          <t>Yatsushiro-Nomozaki Accretionary Complex</t>
        </is>
      </c>
      <c r="F110" s="6" t="inlineStr">
        <is>
          <t>Maastrichtian</t>
        </is>
      </c>
      <c r="G110" s="8" t="n">
        <v>66</v>
      </c>
      <c r="H110" s="9">
        <f>IF(OR($F110="",$G110=""),"",IFERROR((VLOOKUP($F110,intervals!$A:$C,2,FALSE)-$G110)/(VLOOKUP($F110,intervals!$A:$C,2,FALSE)-VLOOKUP($F110,intervals!$A:$C,3,FALSE)),""))</f>
        <v/>
      </c>
      <c r="I110" s="6" t="inlineStr">
        <is>
          <t>Turonian</t>
        </is>
      </c>
      <c r="J110" s="8" t="n">
        <v>93.90000000000001</v>
      </c>
      <c r="K110" s="9">
        <f>IF(OR($I110="",$J110=""),"",IFERROR((VLOOKUP($I110,intervals!$A:$C,2,FALSE)-$J110)/(VLOOKUP($I110,intervals!$A:$C,2,FALSE)-VLOOKUP($I110,intervals!$A:$C,3,FALSE)),""))</f>
        <v/>
      </c>
      <c r="L110" s="7" t="inlineStr">
        <is>
          <t>conglomerate</t>
        </is>
      </c>
      <c r="M110" s="5" t="inlineStr"/>
      <c r="N110" s="5" t="inlineStr">
        <is>
          <t>marine</t>
        </is>
      </c>
      <c r="O110" s="5" t="inlineStr">
        <is>
          <t>Mesozoic Late Cretaceous Turonian - Maastrichtian; marine conglomerate Late Cretaceous accretionary complex [Accretionary Complex]</t>
        </is>
      </c>
      <c r="P110" s="5" t="inlineStr"/>
      <c r="Q110" s="5" t="inlineStr"/>
      <c r="R110" s="5" t="inlineStr">
        <is>
          <t>unknown</t>
        </is>
      </c>
      <c r="S110" s="5" t="inlineStr"/>
      <c r="T110" s="5" t="inlineStr">
        <is>
          <t>GSJ 200k Seamless K212-22_soc_K2</t>
        </is>
      </c>
      <c r="U110" s="5" t="inlineStr"/>
      <c r="V110" s="10" t="inlineStr">
        <is>
          <t>K212-22_soc_K2</t>
        </is>
      </c>
      <c r="W110" s="10" t="inlineStr">
        <is>
          <t>中生代 後期白亜紀 チューロニアン期〜マーストリヒチアン期</t>
        </is>
      </c>
      <c r="X110" s="10" t="inlineStr">
        <is>
          <t>Mesozoic Late Cretaceous Turonian - Maastrichtian</t>
        </is>
      </c>
      <c r="Y110" s="10" t="inlineStr">
        <is>
          <t>海成層 礫岩 後期白亜紀付加体</t>
        </is>
      </c>
      <c r="Z110" s="10" t="inlineStr">
        <is>
          <t>marine conglomerate Late Cretaceous accretionary complex</t>
        </is>
      </c>
      <c r="AA110" s="10" t="inlineStr">
        <is>
          <t>付加体</t>
        </is>
      </c>
      <c r="AB110" s="10" t="inlineStr">
        <is>
          <t>Accretionary complexes</t>
        </is>
      </c>
      <c r="AC110" s="10" t="inlineStr">
        <is>
          <t>Accretionary Complex</t>
        </is>
      </c>
    </row>
    <row r="111">
      <c r="A111" s="5" t="inlineStr">
        <is>
          <t>m200k_NI-52-12_u104</t>
        </is>
      </c>
      <c r="B111" s="6" t="inlineStr">
        <is>
          <t>col_5</t>
        </is>
      </c>
      <c r="C111" s="6" t="n">
        <v>39</v>
      </c>
      <c r="D111" s="7" t="inlineStr">
        <is>
          <t>Maastrichtian Sandstone (Yatsushiro-Nomozaki Accretionary)</t>
        </is>
      </c>
      <c r="E111" s="5" t="inlineStr">
        <is>
          <t>Yatsushiro-Nomozaki Accretionary Complex</t>
        </is>
      </c>
      <c r="F111" s="6" t="inlineStr">
        <is>
          <t>Maastrichtian</t>
        </is>
      </c>
      <c r="G111" s="8" t="n">
        <v>66</v>
      </c>
      <c r="H111" s="9">
        <f>IF(OR($F111="",$G111=""),"",IFERROR((VLOOKUP($F111,intervals!$A:$C,2,FALSE)-$G111)/(VLOOKUP($F111,intervals!$A:$C,2,FALSE)-VLOOKUP($F111,intervals!$A:$C,3,FALSE)),""))</f>
        <v/>
      </c>
      <c r="I111" s="6" t="inlineStr">
        <is>
          <t>Turonian</t>
        </is>
      </c>
      <c r="J111" s="8" t="n">
        <v>93.90000000000001</v>
      </c>
      <c r="K111" s="9">
        <f>IF(OR($I111="",$J111=""),"",IFERROR((VLOOKUP($I111,intervals!$A:$C,2,FALSE)-$J111)/(VLOOKUP($I111,intervals!$A:$C,2,FALSE)-VLOOKUP($I111,intervals!$A:$C,3,FALSE)),""))</f>
        <v/>
      </c>
      <c r="L111" s="7" t="inlineStr">
        <is>
          <t>sandstone</t>
        </is>
      </c>
      <c r="M111" s="5" t="inlineStr">
        <is>
          <t>mudstone</t>
        </is>
      </c>
      <c r="N111" s="5" t="inlineStr">
        <is>
          <t>marine</t>
        </is>
      </c>
      <c r="O111" s="5" t="inlineStr">
        <is>
          <t>Mesozoic Late Cretaceous Turonian - Maastrichtian; sandstone-predominant alternation of sandstone &amp; mudstone Late Cretaceous accretionary complex [Accretionary Complex]</t>
        </is>
      </c>
      <c r="P111" s="5" t="inlineStr"/>
      <c r="Q111" s="5" t="inlineStr"/>
      <c r="R111" s="5" t="inlineStr">
        <is>
          <t>unknown</t>
        </is>
      </c>
      <c r="S111" s="5" t="inlineStr"/>
      <c r="T111" s="5" t="inlineStr">
        <is>
          <t>GSJ 200k Seamless K212-22_somas_K2</t>
        </is>
      </c>
      <c r="U111" s="5" t="inlineStr"/>
      <c r="V111" s="10" t="inlineStr">
        <is>
          <t>K212-22_somas_K2</t>
        </is>
      </c>
      <c r="W111" s="10" t="inlineStr">
        <is>
          <t>中生代 後期白亜紀 チューロニアン期〜マーストリヒチアン期</t>
        </is>
      </c>
      <c r="X111" s="10" t="inlineStr">
        <is>
          <t>Mesozoic Late Cretaceous Turonian - Maastrichtian</t>
        </is>
      </c>
      <c r="Y111" s="10" t="inlineStr">
        <is>
          <t>砂岩泥岩互層 後期白亜紀付加体</t>
        </is>
      </c>
      <c r="Z111" s="10" t="inlineStr">
        <is>
          <t>sandstone-predominant alternation of sandstone &amp; mudstone Late Cretaceous accretionary complex</t>
        </is>
      </c>
      <c r="AA111" s="10" t="inlineStr">
        <is>
          <t>付加体</t>
        </is>
      </c>
      <c r="AB111" s="10" t="inlineStr">
        <is>
          <t>Accretionary complexes</t>
        </is>
      </c>
      <c r="AC111" s="10" t="inlineStr">
        <is>
          <t>Accretionary Complex</t>
        </is>
      </c>
    </row>
    <row r="112">
      <c r="A112" s="5" t="inlineStr">
        <is>
          <t>m200k_NI-52-12_u107</t>
        </is>
      </c>
      <c r="B112" s="6" t="inlineStr">
        <is>
          <t>col_5</t>
        </is>
      </c>
      <c r="C112" s="6" t="n">
        <v>40</v>
      </c>
      <c r="D112" s="7" t="inlineStr">
        <is>
          <t>Maastrichtian Mudstone (Yatsushiro-Nomozaki Accretionary)</t>
        </is>
      </c>
      <c r="E112" s="5" t="inlineStr">
        <is>
          <t>Yatsushiro-Nomozaki Accretionary Complex</t>
        </is>
      </c>
      <c r="F112" s="6" t="inlineStr">
        <is>
          <t>Maastrichtian</t>
        </is>
      </c>
      <c r="G112" s="8" t="n">
        <v>66</v>
      </c>
      <c r="H112" s="9">
        <f>IF(OR($F112="",$G112=""),"",IFERROR((VLOOKUP($F112,intervals!$A:$C,2,FALSE)-$G112)/(VLOOKUP($F112,intervals!$A:$C,2,FALSE)-VLOOKUP($F112,intervals!$A:$C,3,FALSE)),""))</f>
        <v/>
      </c>
      <c r="I112" s="6" t="inlineStr">
        <is>
          <t>Turonian</t>
        </is>
      </c>
      <c r="J112" s="8" t="n">
        <v>93.90000000000001</v>
      </c>
      <c r="K112" s="9">
        <f>IF(OR($I112="",$J112=""),"",IFERROR((VLOOKUP($I112,intervals!$A:$C,2,FALSE)-$J112)/(VLOOKUP($I112,intervals!$A:$C,2,FALSE)-VLOOKUP($I112,intervals!$A:$C,3,FALSE)),""))</f>
        <v/>
      </c>
      <c r="L112" s="7" t="inlineStr">
        <is>
          <t>mudstone</t>
        </is>
      </c>
      <c r="M112" s="5" t="inlineStr"/>
      <c r="N112" s="5" t="inlineStr">
        <is>
          <t>marine</t>
        </is>
      </c>
      <c r="O112" s="5" t="inlineStr">
        <is>
          <t>Mesozoic Late Cretaceous Turonian - Maastrichtian; marine mudstone Late Cretaceous accretionary complex [Accretionary Complex]</t>
        </is>
      </c>
      <c r="P112" s="5" t="inlineStr"/>
      <c r="Q112" s="5" t="inlineStr"/>
      <c r="R112" s="5" t="inlineStr">
        <is>
          <t>unknown</t>
        </is>
      </c>
      <c r="S112" s="5" t="inlineStr"/>
      <c r="T112" s="5" t="inlineStr">
        <is>
          <t>GSJ 200k Seamless K212-22_som_K2</t>
        </is>
      </c>
      <c r="U112" s="5" t="inlineStr"/>
      <c r="V112" s="10" t="inlineStr">
        <is>
          <t>K212-22_som_K2</t>
        </is>
      </c>
      <c r="W112" s="10" t="inlineStr">
        <is>
          <t>中生代 後期白亜紀 チューロニアン期〜マーストリヒチアン期</t>
        </is>
      </c>
      <c r="X112" s="10" t="inlineStr">
        <is>
          <t>Mesozoic Late Cretaceous Turonian - Maastrichtian</t>
        </is>
      </c>
      <c r="Y112" s="10" t="inlineStr">
        <is>
          <t>海成層 泥岩 後期白亜紀付加体</t>
        </is>
      </c>
      <c r="Z112" s="10" t="inlineStr">
        <is>
          <t>marine mudstone Late Cretaceous accretionary complex</t>
        </is>
      </c>
      <c r="AA112" s="10" t="inlineStr">
        <is>
          <t>付加体</t>
        </is>
      </c>
      <c r="AB112" s="10" t="inlineStr">
        <is>
          <t>Accretionary complexes</t>
        </is>
      </c>
      <c r="AC112" s="10" t="inlineStr">
        <is>
          <t>Accretionary Complex</t>
        </is>
      </c>
    </row>
    <row r="113">
      <c r="A113" s="5" t="inlineStr">
        <is>
          <t>m200k_NI-52-12_u109</t>
        </is>
      </c>
      <c r="B113" s="6" t="inlineStr">
        <is>
          <t>col_5</t>
        </is>
      </c>
      <c r="C113" s="6" t="n">
        <v>41</v>
      </c>
      <c r="D113" s="7" t="inlineStr">
        <is>
          <t>Maastrichtian Sandstone (Yatsushiro-Nomozaki Accretionary)</t>
        </is>
      </c>
      <c r="E113" s="5" t="inlineStr">
        <is>
          <t>Yatsushiro-Nomozaki Accretionary Complex</t>
        </is>
      </c>
      <c r="F113" s="6" t="inlineStr">
        <is>
          <t>Maastrichtian</t>
        </is>
      </c>
      <c r="G113" s="8" t="n">
        <v>66</v>
      </c>
      <c r="H113" s="9">
        <f>IF(OR($F113="",$G113=""),"",IFERROR((VLOOKUP($F113,intervals!$A:$C,2,FALSE)-$G113)/(VLOOKUP($F113,intervals!$A:$C,2,FALSE)-VLOOKUP($F113,intervals!$A:$C,3,FALSE)),""))</f>
        <v/>
      </c>
      <c r="I113" s="6" t="inlineStr">
        <is>
          <t>Turonian</t>
        </is>
      </c>
      <c r="J113" s="8" t="n">
        <v>93.90000000000001</v>
      </c>
      <c r="K113" s="9">
        <f>IF(OR($I113="",$J113=""),"",IFERROR((VLOOKUP($I113,intervals!$A:$C,2,FALSE)-$J113)/(VLOOKUP($I113,intervals!$A:$C,2,FALSE)-VLOOKUP($I113,intervals!$A:$C,3,FALSE)),""))</f>
        <v/>
      </c>
      <c r="L113" s="7" t="inlineStr">
        <is>
          <t>sandstone</t>
        </is>
      </c>
      <c r="M113" s="5" t="inlineStr">
        <is>
          <t>mudstone</t>
        </is>
      </c>
      <c r="N113" s="5" t="inlineStr">
        <is>
          <t>marine</t>
        </is>
      </c>
      <c r="O113" s="5" t="inlineStr">
        <is>
          <t>Mesozoic Late Cretaceous Turonian - Maastrichtian; mandstone-predominant alternation of   sandstone &amp; mudstone Late Cretaceous accretionary complex [Accretionary Complex]</t>
        </is>
      </c>
      <c r="P113" s="5" t="inlineStr"/>
      <c r="Q113" s="5" t="inlineStr"/>
      <c r="R113" s="5" t="inlineStr">
        <is>
          <t>unknown</t>
        </is>
      </c>
      <c r="S113" s="5" t="inlineStr"/>
      <c r="T113" s="5" t="inlineStr">
        <is>
          <t>GSJ 200k Seamless K212-22_somam_K2</t>
        </is>
      </c>
      <c r="U113" s="5" t="inlineStr"/>
      <c r="V113" s="10" t="inlineStr">
        <is>
          <t>K212-22_somam_K2</t>
        </is>
      </c>
      <c r="W113" s="10" t="inlineStr">
        <is>
          <t>中生代 後期白亜紀 チューロニアン期〜マーストリヒチアン期</t>
        </is>
      </c>
      <c r="X113" s="10" t="inlineStr">
        <is>
          <t>Mesozoic Late Cretaceous Turonian - Maastrichtian</t>
        </is>
      </c>
      <c r="Y113" s="10" t="inlineStr">
        <is>
          <t>泥岩砂岩互層 後期白亜紀付加体</t>
        </is>
      </c>
      <c r="Z113" s="10" t="inlineStr">
        <is>
          <t>mandstone-predominant alternation of   sandstone &amp; mudstone Late Cretaceous accretionary complex</t>
        </is>
      </c>
      <c r="AA113" s="10" t="inlineStr">
        <is>
          <t>付加体</t>
        </is>
      </c>
      <c r="AB113" s="10" t="inlineStr">
        <is>
          <t>Accretionary complexes</t>
        </is>
      </c>
      <c r="AC113" s="10" t="inlineStr">
        <is>
          <t>Accretionary Complex</t>
        </is>
      </c>
    </row>
    <row r="114">
      <c r="A114" s="5" t="inlineStr">
        <is>
          <t>m200k_NI-52-12_u110</t>
        </is>
      </c>
      <c r="B114" s="6" t="inlineStr">
        <is>
          <t>col_5</t>
        </is>
      </c>
      <c r="C114" s="6" t="n">
        <v>42</v>
      </c>
      <c r="D114" s="7" t="inlineStr">
        <is>
          <t>Maastrichtian Dacite (Yatsushiro-Nomozaki Accretionary)</t>
        </is>
      </c>
      <c r="E114" s="5" t="inlineStr">
        <is>
          <t>Yatsushiro-Nomozaki Accretionary Complex</t>
        </is>
      </c>
      <c r="F114" s="6" t="inlineStr">
        <is>
          <t>Maastrichtian</t>
        </is>
      </c>
      <c r="G114" s="8" t="n">
        <v>66</v>
      </c>
      <c r="H114" s="9">
        <f>IF(OR($F114="",$G114=""),"",IFERROR((VLOOKUP($F114,intervals!$A:$C,2,FALSE)-$G114)/(VLOOKUP($F114,intervals!$A:$C,2,FALSE)-VLOOKUP($F114,intervals!$A:$C,3,FALSE)),""))</f>
        <v/>
      </c>
      <c r="I114" s="6" t="inlineStr">
        <is>
          <t>Turonian</t>
        </is>
      </c>
      <c r="J114" s="8" t="n">
        <v>93.90000000000001</v>
      </c>
      <c r="K114" s="9">
        <f>IF(OR($I114="",$J114=""),"",IFERROR((VLOOKUP($I114,intervals!$A:$C,2,FALSE)-$J114)/(VLOOKUP($I114,intervals!$A:$C,2,FALSE)-VLOOKUP($I114,intervals!$A:$C,3,FALSE)),""))</f>
        <v/>
      </c>
      <c r="L114" s="7" t="inlineStr">
        <is>
          <t>dacite</t>
        </is>
      </c>
      <c r="M114" s="5" t="inlineStr">
        <is>
          <t>rhyolite</t>
        </is>
      </c>
      <c r="N114" s="5" t="inlineStr">
        <is>
          <t>marine</t>
        </is>
      </c>
      <c r="O114" s="5" t="inlineStr">
        <is>
          <t>Mesozoic Late Cretaceous Turonian - Maastrichtian; dacite, rhyolite &amp; trachyte oceanic Late Cretaceous accretionary complex [Accretionary Complex]</t>
        </is>
      </c>
      <c r="P114" s="5" t="inlineStr"/>
      <c r="Q114" s="5" t="inlineStr"/>
      <c r="R114" s="5" t="inlineStr">
        <is>
          <t>unknown</t>
        </is>
      </c>
      <c r="S114" s="5" t="inlineStr"/>
      <c r="T114" s="5" t="inlineStr">
        <is>
          <t>GSJ 200k Seamless K212-22_va_ol_K2</t>
        </is>
      </c>
      <c r="U114" s="5" t="inlineStr"/>
      <c r="V114" s="10" t="inlineStr">
        <is>
          <t>K212-22_va_ol_K2</t>
        </is>
      </c>
      <c r="W114" s="10" t="inlineStr">
        <is>
          <t>中生代 後期白亜紀 チューロニアン期〜マーストリヒチアン期</t>
        </is>
      </c>
      <c r="X114" s="10" t="inlineStr">
        <is>
          <t>Mesozoic Late Cretaceous Turonian - Maastrichtian</t>
        </is>
      </c>
      <c r="Y114" s="10" t="inlineStr">
        <is>
          <t>デイサイト・流紋岩・粗面岩 海洋 後期白亜紀付加体</t>
        </is>
      </c>
      <c r="Z114" s="10" t="inlineStr">
        <is>
          <t>dacite, rhyolite &amp; trachyte oceanic Late Cretaceous accretionary complex</t>
        </is>
      </c>
      <c r="AA114" s="10" t="inlineStr">
        <is>
          <t>付加体</t>
        </is>
      </c>
      <c r="AB114" s="10" t="inlineStr">
        <is>
          <t>Accretionary complexes</t>
        </is>
      </c>
      <c r="AC114" s="10" t="inlineStr">
        <is>
          <t>Accretionary Complex</t>
        </is>
      </c>
    </row>
    <row r="115">
      <c r="A115" s="5" t="inlineStr">
        <is>
          <t>m200k_NI-52-12_u117</t>
        </is>
      </c>
      <c r="B115" s="6" t="inlineStr">
        <is>
          <t>col_6</t>
        </is>
      </c>
      <c r="C115" s="6" t="n">
        <v>1</v>
      </c>
      <c r="D115" s="7" t="inlineStr">
        <is>
          <t>Silurian Granite (Yatsushiro-Nomozaki Plutonic)</t>
        </is>
      </c>
      <c r="E115" s="5" t="inlineStr">
        <is>
          <t>Yatsushiro-Nomozaki Plutonic Complex</t>
        </is>
      </c>
      <c r="F115" s="6" t="inlineStr">
        <is>
          <t>Silurian</t>
        </is>
      </c>
      <c r="G115" s="8" t="n">
        <v>419.62</v>
      </c>
      <c r="H115" s="9">
        <f>IF(OR($F115="",$G115=""),"",IFERROR((VLOOKUP($F115,intervals!$A:$C,2,FALSE)-$G115)/(VLOOKUP($F115,intervals!$A:$C,2,FALSE)-VLOOKUP($F115,intervals!$A:$C,3,FALSE)),""))</f>
        <v/>
      </c>
      <c r="I115" s="6" t="inlineStr">
        <is>
          <t>Ordovician</t>
        </is>
      </c>
      <c r="J115" s="8" t="n">
        <v>486.85</v>
      </c>
      <c r="K115" s="9">
        <f>IF(OR($I115="",$J115=""),"",IFERROR((VLOOKUP($I115,intervals!$A:$C,2,FALSE)-$J115)/(VLOOKUP($I115,intervals!$A:$C,2,FALSE)-VLOOKUP($I115,intervals!$A:$C,3,FALSE)),""))</f>
        <v/>
      </c>
      <c r="L115" s="7" t="inlineStr">
        <is>
          <t>granite</t>
        </is>
      </c>
      <c r="M115" s="5" t="inlineStr"/>
      <c r="N115" s="5" t="inlineStr">
        <is>
          <t>plutonic</t>
        </is>
      </c>
      <c r="O115" s="5" t="inlineStr">
        <is>
          <t>Paleozoic Ordovician - Silurian; massive granite island arc &amp; continental [Plutonic Complex]</t>
        </is>
      </c>
      <c r="P115" s="5" t="inlineStr"/>
      <c r="Q115" s="5" t="inlineStr"/>
      <c r="R115" s="5" t="inlineStr">
        <is>
          <t>intrusive</t>
        </is>
      </c>
      <c r="S115" s="5" t="inlineStr"/>
      <c r="T115" s="5" t="inlineStr">
        <is>
          <t>GSJ 200k Seamless O-S_pam_a</t>
        </is>
      </c>
      <c r="U115" s="5" t="inlineStr"/>
      <c r="V115" s="10" t="inlineStr">
        <is>
          <t>O-S_pam_a</t>
        </is>
      </c>
      <c r="W115" s="10" t="inlineStr">
        <is>
          <t>古生代 オルドビス紀〜シルル紀</t>
        </is>
      </c>
      <c r="X115" s="10" t="inlineStr">
        <is>
          <t>Paleozoic Ordovician - Silurian</t>
        </is>
      </c>
      <c r="Y115" s="10" t="inlineStr">
        <is>
          <t>花崗岩 塊状 島弧・大陸</t>
        </is>
      </c>
      <c r="Z115" s="10" t="inlineStr">
        <is>
          <t>massive granite island arc &amp; continental</t>
        </is>
      </c>
      <c r="AA115" s="10" t="inlineStr">
        <is>
          <t>火成岩</t>
        </is>
      </c>
      <c r="AB115" s="10" t="inlineStr">
        <is>
          <t>Igneous rocks</t>
        </is>
      </c>
      <c r="AC115" s="10" t="inlineStr">
        <is>
          <t>Plutonic Complex</t>
        </is>
      </c>
    </row>
    <row r="116">
      <c r="A116" s="5" t="inlineStr">
        <is>
          <t>m200k_NI-52-12_u114</t>
        </is>
      </c>
      <c r="B116" s="6" t="inlineStr">
        <is>
          <t>col_6</t>
        </is>
      </c>
      <c r="C116" s="6" t="n">
        <v>2</v>
      </c>
      <c r="D116" s="7" t="inlineStr">
        <is>
          <t>Albian Diorite (Yatsushiro-Nomozaki Plutonic)</t>
        </is>
      </c>
      <c r="E116" s="5" t="inlineStr">
        <is>
          <t>Yatsushiro-Nomozaki Plutonic Complex</t>
        </is>
      </c>
      <c r="F116" s="6" t="inlineStr">
        <is>
          <t>Albian</t>
        </is>
      </c>
      <c r="G116" s="8" t="n">
        <v>100.5</v>
      </c>
      <c r="H116" s="9">
        <f>IF(OR($F116="",$G116=""),"",IFERROR((VLOOKUP($F116,intervals!$A:$C,2,FALSE)-$G116)/(VLOOKUP($F116,intervals!$A:$C,2,FALSE)-VLOOKUP($F116,intervals!$A:$C,3,FALSE)),""))</f>
        <v/>
      </c>
      <c r="I116" s="6" t="inlineStr">
        <is>
          <t>Aptian</t>
        </is>
      </c>
      <c r="J116" s="8" t="n">
        <v>121.4</v>
      </c>
      <c r="K116" s="9">
        <f>IF(OR($I116="",$J116=""),"",IFERROR((VLOOKUP($I116,intervals!$A:$C,2,FALSE)-$J116)/(VLOOKUP($I116,intervals!$A:$C,2,FALSE)-VLOOKUP($I116,intervals!$A:$C,3,FALSE)),""))</f>
        <v/>
      </c>
      <c r="L116" s="7" t="inlineStr">
        <is>
          <t>diorite</t>
        </is>
      </c>
      <c r="M116" s="5" t="inlineStr"/>
      <c r="N116" s="5" t="inlineStr">
        <is>
          <t>plutonic</t>
        </is>
      </c>
      <c r="O116" s="5" t="inlineStr">
        <is>
          <t>Mesozoic Early Cretaceous Aptian - Albian; diorite &amp; quartz diorite island arc &amp; continental [Plutonic Complex]</t>
        </is>
      </c>
      <c r="P116" s="5" t="inlineStr"/>
      <c r="Q116" s="5" t="inlineStr"/>
      <c r="R116" s="5" t="inlineStr">
        <is>
          <t>intrusive</t>
        </is>
      </c>
      <c r="S116" s="5" t="inlineStr"/>
      <c r="T116" s="5" t="inlineStr">
        <is>
          <t>GSJ 200k Seamless K12_pbd_a</t>
        </is>
      </c>
      <c r="U116" s="5" t="inlineStr"/>
      <c r="V116" s="10" t="inlineStr">
        <is>
          <t>K12_pbd_a</t>
        </is>
      </c>
      <c r="W116" s="10" t="inlineStr">
        <is>
          <t>中生代 前期白亜紀 アプチアン期〜アルビアン期</t>
        </is>
      </c>
      <c r="X116" s="10" t="inlineStr">
        <is>
          <t>Mesozoic Early Cretaceous Aptian - Albian</t>
        </is>
      </c>
      <c r="Y116" s="10" t="inlineStr">
        <is>
          <t>閃緑岩・石英閃緑岩 島弧・大陸</t>
        </is>
      </c>
      <c r="Z116" s="10" t="inlineStr">
        <is>
          <t>diorite &amp; quartz diorite island arc &amp; continental</t>
        </is>
      </c>
      <c r="AA116" s="10" t="inlineStr">
        <is>
          <t>火成岩</t>
        </is>
      </c>
      <c r="AB116" s="10" t="inlineStr">
        <is>
          <t>Igneous rocks</t>
        </is>
      </c>
      <c r="AC116" s="10" t="inlineStr">
        <is>
          <t>Plutonic Complex</t>
        </is>
      </c>
    </row>
    <row r="117">
      <c r="A117" s="5" t="inlineStr">
        <is>
          <t>m200k_NI-52-12_u115</t>
        </is>
      </c>
      <c r="B117" s="6" t="inlineStr">
        <is>
          <t>col_6</t>
        </is>
      </c>
      <c r="C117" s="6" t="n">
        <v>3</v>
      </c>
      <c r="D117" s="7" t="inlineStr">
        <is>
          <t>Albian Granite (Yatsushiro-Nomozaki Plutonic)</t>
        </is>
      </c>
      <c r="E117" s="5" t="inlineStr">
        <is>
          <t>Yatsushiro-Nomozaki Plutonic Complex</t>
        </is>
      </c>
      <c r="F117" s="6" t="inlineStr">
        <is>
          <t>Albian</t>
        </is>
      </c>
      <c r="G117" s="8" t="n">
        <v>100.5</v>
      </c>
      <c r="H117" s="9">
        <f>IF(OR($F117="",$G117=""),"",IFERROR((VLOOKUP($F117,intervals!$A:$C,2,FALSE)-$G117)/(VLOOKUP($F117,intervals!$A:$C,2,FALSE)-VLOOKUP($F117,intervals!$A:$C,3,FALSE)),""))</f>
        <v/>
      </c>
      <c r="I117" s="6" t="inlineStr">
        <is>
          <t>Aptian</t>
        </is>
      </c>
      <c r="J117" s="8" t="n">
        <v>121.4</v>
      </c>
      <c r="K117" s="9">
        <f>IF(OR($I117="",$J117=""),"",IFERROR((VLOOKUP($I117,intervals!$A:$C,2,FALSE)-$J117)/(VLOOKUP($I117,intervals!$A:$C,2,FALSE)-VLOOKUP($I117,intervals!$A:$C,3,FALSE)),""))</f>
        <v/>
      </c>
      <c r="L117" s="7" t="inlineStr">
        <is>
          <t>granite</t>
        </is>
      </c>
      <c r="M117" s="5" t="inlineStr"/>
      <c r="N117" s="5" t="inlineStr">
        <is>
          <t>plutonic</t>
        </is>
      </c>
      <c r="O117" s="5" t="inlineStr">
        <is>
          <t>Mesozoic Early Cretaceous Aptian - Albian; massive granite island arc &amp; continental [Plutonic Complex]</t>
        </is>
      </c>
      <c r="P117" s="5" t="inlineStr"/>
      <c r="Q117" s="5" t="inlineStr"/>
      <c r="R117" s="5" t="inlineStr">
        <is>
          <t>intrusive</t>
        </is>
      </c>
      <c r="S117" s="5" t="inlineStr"/>
      <c r="T117" s="5" t="inlineStr">
        <is>
          <t>GSJ 200k Seamless K12_pam_a</t>
        </is>
      </c>
      <c r="U117" s="5" t="inlineStr"/>
      <c r="V117" s="10" t="inlineStr">
        <is>
          <t>K12_pam_a</t>
        </is>
      </c>
      <c r="W117" s="10" t="inlineStr">
        <is>
          <t>中生代 前期白亜紀 アプチアン期〜アルビアン期</t>
        </is>
      </c>
      <c r="X117" s="10" t="inlineStr">
        <is>
          <t>Mesozoic Early Cretaceous Aptian - Albian</t>
        </is>
      </c>
      <c r="Y117" s="10" t="inlineStr">
        <is>
          <t>花崗岩 塊状 島弧・大陸</t>
        </is>
      </c>
      <c r="Z117" s="10" t="inlineStr">
        <is>
          <t>massive granite island arc &amp; continental</t>
        </is>
      </c>
      <c r="AA117" s="10" t="inlineStr">
        <is>
          <t>火成岩</t>
        </is>
      </c>
      <c r="AB117" s="10" t="inlineStr">
        <is>
          <t>Igneous rocks</t>
        </is>
      </c>
      <c r="AC117" s="10" t="inlineStr">
        <is>
          <t>Plutonic Complex</t>
        </is>
      </c>
    </row>
    <row r="118">
      <c r="A118" s="5" t="inlineStr">
        <is>
          <t>m200k_NI-52-12_u116</t>
        </is>
      </c>
      <c r="B118" s="6" t="inlineStr">
        <is>
          <t>col_6</t>
        </is>
      </c>
      <c r="C118" s="6" t="n">
        <v>4</v>
      </c>
      <c r="D118" s="7" t="inlineStr">
        <is>
          <t>Albian Gabbro (Yatsushiro-Nomozaki Plutonic)</t>
        </is>
      </c>
      <c r="E118" s="5" t="inlineStr">
        <is>
          <t>Yatsushiro-Nomozaki Plutonic Complex</t>
        </is>
      </c>
      <c r="F118" s="6" t="inlineStr">
        <is>
          <t>Albian</t>
        </is>
      </c>
      <c r="G118" s="8" t="n">
        <v>100.5</v>
      </c>
      <c r="H118" s="9">
        <f>IF(OR($F118="",$G118=""),"",IFERROR((VLOOKUP($F118,intervals!$A:$C,2,FALSE)-$G118)/(VLOOKUP($F118,intervals!$A:$C,2,FALSE)-VLOOKUP($F118,intervals!$A:$C,3,FALSE)),""))</f>
        <v/>
      </c>
      <c r="I118" s="6" t="inlineStr">
        <is>
          <t>Aptian</t>
        </is>
      </c>
      <c r="J118" s="8" t="n">
        <v>121.4</v>
      </c>
      <c r="K118" s="9">
        <f>IF(OR($I118="",$J118=""),"",IFERROR((VLOOKUP($I118,intervals!$A:$C,2,FALSE)-$J118)/(VLOOKUP($I118,intervals!$A:$C,2,FALSE)-VLOOKUP($I118,intervals!$A:$C,3,FALSE)),""))</f>
        <v/>
      </c>
      <c r="L118" s="7" t="inlineStr">
        <is>
          <t>gabbro</t>
        </is>
      </c>
      <c r="M118" s="5" t="inlineStr"/>
      <c r="N118" s="5" t="inlineStr">
        <is>
          <t>plutonic</t>
        </is>
      </c>
      <c r="O118" s="5" t="inlineStr">
        <is>
          <t>Mesozoic Early Cretaceous Aptian - Albian; gabbro island arc &amp; continental [Plutonic Complex]</t>
        </is>
      </c>
      <c r="P118" s="5" t="inlineStr"/>
      <c r="Q118" s="5" t="inlineStr"/>
      <c r="R118" s="5" t="inlineStr">
        <is>
          <t>intrusive</t>
        </is>
      </c>
      <c r="S118" s="5" t="inlineStr"/>
      <c r="T118" s="5" t="inlineStr">
        <is>
          <t>GSJ 200k Seamless K12_pbg_a</t>
        </is>
      </c>
      <c r="U118" s="5" t="inlineStr"/>
      <c r="V118" s="10" t="inlineStr">
        <is>
          <t>K12_pbg_a</t>
        </is>
      </c>
      <c r="W118" s="10" t="inlineStr">
        <is>
          <t>中生代 前期白亜紀 アプチアン期〜アルビアン期</t>
        </is>
      </c>
      <c r="X118" s="10" t="inlineStr">
        <is>
          <t>Mesozoic Early Cretaceous Aptian - Albian</t>
        </is>
      </c>
      <c r="Y118" s="10" t="inlineStr">
        <is>
          <t>斑れい岩 島弧・大陸</t>
        </is>
      </c>
      <c r="Z118" s="10" t="inlineStr">
        <is>
          <t>gabbro island arc &amp; continental</t>
        </is>
      </c>
      <c r="AA118" s="10" t="inlineStr">
        <is>
          <t>火成岩</t>
        </is>
      </c>
      <c r="AB118" s="10" t="inlineStr">
        <is>
          <t>Igneous rocks</t>
        </is>
      </c>
      <c r="AC118" s="10" t="inlineStr">
        <is>
          <t>Plutonic Complex</t>
        </is>
      </c>
    </row>
    <row r="119">
      <c r="A119" s="5" t="inlineStr">
        <is>
          <t>m200k_NI-52-12_u118</t>
        </is>
      </c>
      <c r="B119" s="6" t="inlineStr">
        <is>
          <t>col_6</t>
        </is>
      </c>
      <c r="C119" s="6" t="n">
        <v>5</v>
      </c>
      <c r="D119" s="7" t="inlineStr">
        <is>
          <t>Serravallian Granite (Yatsushiro-Nomozaki Plutonic)</t>
        </is>
      </c>
      <c r="E119" s="5" t="inlineStr">
        <is>
          <t>Yatsushiro-Nomozaki Plutonic Complex</t>
        </is>
      </c>
      <c r="F119" s="6" t="inlineStr">
        <is>
          <t>Serravallian</t>
        </is>
      </c>
      <c r="G119" s="8" t="n">
        <v>11.63</v>
      </c>
      <c r="H119" s="9">
        <f>IF(OR($F119="",$G119=""),"",IFERROR((VLOOKUP($F119,intervals!$A:$C,2,FALSE)-$G119)/(VLOOKUP($F119,intervals!$A:$C,2,FALSE)-VLOOKUP($F119,intervals!$A:$C,3,FALSE)),""))</f>
        <v/>
      </c>
      <c r="I119" s="6" t="inlineStr">
        <is>
          <t>Langhian</t>
        </is>
      </c>
      <c r="J119" s="8" t="n">
        <v>15.98</v>
      </c>
      <c r="K119" s="9">
        <f>IF(OR($I119="",$J119=""),"",IFERROR((VLOOKUP($I119,intervals!$A:$C,2,FALSE)-$J119)/(VLOOKUP($I119,intervals!$A:$C,2,FALSE)-VLOOKUP($I119,intervals!$A:$C,3,FALSE)),""))</f>
        <v/>
      </c>
      <c r="L119" s="7" t="inlineStr">
        <is>
          <t>granite</t>
        </is>
      </c>
      <c r="M119" s="5" t="inlineStr"/>
      <c r="N119" s="5" t="inlineStr">
        <is>
          <t>plutonic</t>
        </is>
      </c>
      <c r="O119" s="5" t="inlineStr">
        <is>
          <t>Cenozoic Neogene Miocene late Langhian - early Serravallian; massive granite island arc &amp; continental [Plutonic Complex]</t>
        </is>
      </c>
      <c r="P119" s="5" t="inlineStr"/>
      <c r="Q119" s="5" t="inlineStr"/>
      <c r="R119" s="5" t="inlineStr">
        <is>
          <t>intrusive</t>
        </is>
      </c>
      <c r="S119" s="5" t="inlineStr"/>
      <c r="T119" s="5" t="inlineStr">
        <is>
          <t>GSJ 200k Seamless N21_pam_a</t>
        </is>
      </c>
      <c r="U119" s="5" t="inlineStr"/>
      <c r="V119" s="10" t="inlineStr">
        <is>
          <t>N21_pam_a</t>
        </is>
      </c>
      <c r="W119" s="10" t="inlineStr">
        <is>
          <t>新生代 新第三紀 中新世 後期ランギアン期〜前期サーラバリアン期</t>
        </is>
      </c>
      <c r="X119" s="10" t="inlineStr">
        <is>
          <t>Cenozoic Neogene Miocene late Langhian - early Serravallian</t>
        </is>
      </c>
      <c r="Y119" s="10" t="inlineStr">
        <is>
          <t>花崗岩 塊状 島弧・大陸</t>
        </is>
      </c>
      <c r="Z119" s="10" t="inlineStr">
        <is>
          <t>massive granite island arc &amp; continental</t>
        </is>
      </c>
      <c r="AA119" s="10" t="inlineStr">
        <is>
          <t>火成岩</t>
        </is>
      </c>
      <c r="AB119" s="10" t="inlineStr">
        <is>
          <t>Igneous rocks</t>
        </is>
      </c>
      <c r="AC119" s="10" t="inlineStr">
        <is>
          <t>Plutonic Complex</t>
        </is>
      </c>
    </row>
    <row r="120">
      <c r="A120" s="5" t="inlineStr">
        <is>
          <t>m200k_NI-52-12_u120</t>
        </is>
      </c>
      <c r="B120" s="6" t="inlineStr">
        <is>
          <t>col_7</t>
        </is>
      </c>
      <c r="C120" s="6" t="n">
        <v>1</v>
      </c>
      <c r="D120" s="7" t="inlineStr">
        <is>
          <t>Devonian Dacite (Yatsushiro-Nomozaki Neogene-Paleogene)</t>
        </is>
      </c>
      <c r="E120" s="5" t="inlineStr">
        <is>
          <t>Yatsushiro-Nomozaki Neogene-Paleogene Volcanic Complex</t>
        </is>
      </c>
      <c r="F120" s="6" t="inlineStr">
        <is>
          <t>Devonian</t>
        </is>
      </c>
      <c r="G120" s="8" t="n">
        <v>358.86</v>
      </c>
      <c r="H120" s="9">
        <f>IF(OR($F120="",$G120=""),"",IFERROR((VLOOKUP($F120,intervals!$A:$C,2,FALSE)-$G120)/(VLOOKUP($F120,intervals!$A:$C,2,FALSE)-VLOOKUP($F120,intervals!$A:$C,3,FALSE)),""))</f>
        <v/>
      </c>
      <c r="I120" s="6" t="inlineStr">
        <is>
          <t>Ordovician</t>
        </is>
      </c>
      <c r="J120" s="8" t="n">
        <v>486.85</v>
      </c>
      <c r="K120" s="9">
        <f>IF(OR($I120="",$J120=""),"",IFERROR((VLOOKUP($I120,intervals!$A:$C,2,FALSE)-$J120)/(VLOOKUP($I120,intervals!$A:$C,2,FALSE)-VLOOKUP($I120,intervals!$A:$C,3,FALSE)),""))</f>
        <v/>
      </c>
      <c r="L120" s="7" t="inlineStr">
        <is>
          <t>dacite</t>
        </is>
      </c>
      <c r="M120" s="5" t="inlineStr">
        <is>
          <t>rhyolite</t>
        </is>
      </c>
      <c r="N120" s="5" t="inlineStr">
        <is>
          <t>volcanic</t>
        </is>
      </c>
      <c r="O120" s="5" t="inlineStr">
        <is>
          <t>Paleozoic Ordovician Late - Early Devonian; dacite, rhyolite &amp; trachyte lava &amp; pyroclastic rocks [Neogene-Paleogene Volcanic Complex]</t>
        </is>
      </c>
      <c r="P120" s="5" t="inlineStr"/>
      <c r="Q120" s="5" t="inlineStr"/>
      <c r="R120" s="5" t="inlineStr">
        <is>
          <t>unknown</t>
        </is>
      </c>
      <c r="S120" s="5" t="inlineStr"/>
      <c r="T120" s="5" t="inlineStr">
        <is>
          <t>GSJ 200k Seamless O3-D1_va_al</t>
        </is>
      </c>
      <c r="U120" s="5" t="inlineStr"/>
      <c r="V120" s="10" t="inlineStr">
        <is>
          <t>O3-D1_va_al</t>
        </is>
      </c>
      <c r="W120" s="10" t="inlineStr">
        <is>
          <t>古生代 後期オルドビス紀〜前期デボン紀</t>
        </is>
      </c>
      <c r="X120" s="10" t="inlineStr">
        <is>
          <t>Paleozoic Ordovician Late - Early Devonian</t>
        </is>
      </c>
      <c r="Y120" s="10" t="inlineStr">
        <is>
          <t>デイサイト・流紋岩・粗面岩 溶岩・火砕岩</t>
        </is>
      </c>
      <c r="Z120" s="10" t="inlineStr">
        <is>
          <t>dacite, rhyolite &amp; trachyte lava &amp; pyroclastic rocks</t>
        </is>
      </c>
      <c r="AA120" s="10" t="inlineStr">
        <is>
          <t>火成岩</t>
        </is>
      </c>
      <c r="AB120" s="10" t="inlineStr">
        <is>
          <t>Igneous rocks</t>
        </is>
      </c>
      <c r="AC120" s="10" t="inlineStr">
        <is>
          <t>Neogene-Paleogene Volcanic Complex</t>
        </is>
      </c>
    </row>
    <row r="121">
      <c r="A121" s="5" t="inlineStr">
        <is>
          <t>m200k_NI-52-12_u119</t>
        </is>
      </c>
      <c r="B121" s="6" t="inlineStr">
        <is>
          <t>col_7</t>
        </is>
      </c>
      <c r="C121" s="6" t="n">
        <v>2</v>
      </c>
      <c r="D121" s="7" t="inlineStr">
        <is>
          <t>Tortonian Dacite (Yatsushiro-Nomozaki Neogene-Paleogene)</t>
        </is>
      </c>
      <c r="E121" s="5" t="inlineStr">
        <is>
          <t>Yatsushiro-Nomozaki Neogene-Paleogene Volcanic Complex</t>
        </is>
      </c>
      <c r="F121" s="6" t="inlineStr">
        <is>
          <t>Tortonian</t>
        </is>
      </c>
      <c r="G121" s="8" t="n">
        <v>7.246</v>
      </c>
      <c r="H121" s="9">
        <f>IF(OR($F121="",$G121=""),"",IFERROR((VLOOKUP($F121,intervals!$A:$C,2,FALSE)-$G121)/(VLOOKUP($F121,intervals!$A:$C,2,FALSE)-VLOOKUP($F121,intervals!$A:$C,3,FALSE)),""))</f>
        <v/>
      </c>
      <c r="I121" s="6" t="inlineStr">
        <is>
          <t>Langhian</t>
        </is>
      </c>
      <c r="J121" s="8" t="n">
        <v>15.98</v>
      </c>
      <c r="K121" s="9">
        <f>IF(OR($I121="",$J121=""),"",IFERROR((VLOOKUP($I121,intervals!$A:$C,2,FALSE)-$J121)/(VLOOKUP($I121,intervals!$A:$C,2,FALSE)-VLOOKUP($I121,intervals!$A:$C,3,FALSE)),""))</f>
        <v/>
      </c>
      <c r="L121" s="7" t="inlineStr">
        <is>
          <t>dacite</t>
        </is>
      </c>
      <c r="M121" s="5" t="inlineStr">
        <is>
          <t>rhyolite</t>
        </is>
      </c>
      <c r="N121" s="5" t="inlineStr">
        <is>
          <t>volcanic</t>
        </is>
      </c>
      <c r="O121" s="5" t="inlineStr">
        <is>
          <t>Cenozoic Neogene Miocene late Langhian - Tortonian; dacite &amp; rhyolite intrusives rocks [Neogene-Paleogene Volcanic Complex]</t>
        </is>
      </c>
      <c r="P121" s="5" t="inlineStr"/>
      <c r="Q121" s="5" t="inlineStr"/>
      <c r="R121" s="5" t="inlineStr">
        <is>
          <t>unknown</t>
        </is>
      </c>
      <c r="S121" s="5" t="inlineStr"/>
      <c r="T121" s="5" t="inlineStr">
        <is>
          <t>GSJ 200k Seamless N2_vas_ai</t>
        </is>
      </c>
      <c r="U121" s="5" t="inlineStr"/>
      <c r="V121" s="10" t="inlineStr">
        <is>
          <t>N2_vas_ai</t>
        </is>
      </c>
      <c r="W121" s="10" t="inlineStr">
        <is>
          <t>新生代 新第三紀 中新世 後期ランギアン期〜トートニアン期</t>
        </is>
      </c>
      <c r="X121" s="10" t="inlineStr">
        <is>
          <t>Cenozoic Neogene Miocene late Langhian - Tortonian</t>
        </is>
      </c>
      <c r="Y121" s="10" t="inlineStr">
        <is>
          <t>デイサイト・流紋岩 貫入岩</t>
        </is>
      </c>
      <c r="Z121" s="10" t="inlineStr">
        <is>
          <t>dacite &amp; rhyolite intrusives rocks</t>
        </is>
      </c>
      <c r="AA121" s="10" t="inlineStr">
        <is>
          <t>火成岩</t>
        </is>
      </c>
      <c r="AB121" s="10" t="inlineStr">
        <is>
          <t>Igneous rocks</t>
        </is>
      </c>
      <c r="AC121" s="10" t="inlineStr">
        <is>
          <t>Neogene-Paleogene Volcanic Complex</t>
        </is>
      </c>
    </row>
    <row r="122">
      <c r="A122" s="5" t="inlineStr">
        <is>
          <t>m200k_NI-52-12_u122</t>
        </is>
      </c>
      <c r="B122" s="6" t="inlineStr">
        <is>
          <t>col_7</t>
        </is>
      </c>
      <c r="C122" s="6" t="n">
        <v>3</v>
      </c>
      <c r="D122" s="7" t="inlineStr">
        <is>
          <t>Tortonian Dacite (Yatsushiro-Nomozaki Neogene-Paleogene)</t>
        </is>
      </c>
      <c r="E122" s="5" t="inlineStr">
        <is>
          <t>Yatsushiro-Nomozaki Neogene-Paleogene Volcanic Complex</t>
        </is>
      </c>
      <c r="F122" s="6" t="inlineStr">
        <is>
          <t>Tortonian</t>
        </is>
      </c>
      <c r="G122" s="8" t="n">
        <v>7.246</v>
      </c>
      <c r="H122" s="9">
        <f>IF(OR($F122="",$G122=""),"",IFERROR((VLOOKUP($F122,intervals!$A:$C,2,FALSE)-$G122)/(VLOOKUP($F122,intervals!$A:$C,2,FALSE)-VLOOKUP($F122,intervals!$A:$C,3,FALSE)),""))</f>
        <v/>
      </c>
      <c r="I122" s="6" t="inlineStr">
        <is>
          <t>Langhian</t>
        </is>
      </c>
      <c r="J122" s="8" t="n">
        <v>15.98</v>
      </c>
      <c r="K122" s="9">
        <f>IF(OR($I122="",$J122=""),"",IFERROR((VLOOKUP($I122,intervals!$A:$C,2,FALSE)-$J122)/(VLOOKUP($I122,intervals!$A:$C,2,FALSE)-VLOOKUP($I122,intervals!$A:$C,3,FALSE)),""))</f>
        <v/>
      </c>
      <c r="L122" s="7" t="inlineStr">
        <is>
          <t>dacite</t>
        </is>
      </c>
      <c r="M122" s="5" t="inlineStr">
        <is>
          <t>rhyolite</t>
        </is>
      </c>
      <c r="N122" s="5" t="inlineStr">
        <is>
          <t>volcanic</t>
        </is>
      </c>
      <c r="O122" s="5" t="inlineStr">
        <is>
          <t>Cenozoic Neogene Miocene late Langhian - Tortonian; dacite &amp; rhyolite pyroclastic rocks [Neogene-Paleogene Volcanic Complex]</t>
        </is>
      </c>
      <c r="P122" s="5" t="inlineStr"/>
      <c r="Q122" s="5" t="inlineStr"/>
      <c r="R122" s="5" t="inlineStr">
        <is>
          <t>unknown</t>
        </is>
      </c>
      <c r="S122" s="5" t="inlineStr"/>
      <c r="T122" s="5" t="inlineStr">
        <is>
          <t>GSJ 200k Seamless N2_vas_ap</t>
        </is>
      </c>
      <c r="U122" s="5" t="inlineStr"/>
      <c r="V122" s="10" t="inlineStr">
        <is>
          <t>N2_vas_ap</t>
        </is>
      </c>
      <c r="W122" s="10" t="inlineStr">
        <is>
          <t>新生代 新第三紀 中新世 後期ランギアン期〜トートニアン期</t>
        </is>
      </c>
      <c r="X122" s="10" t="inlineStr">
        <is>
          <t>Cenozoic Neogene Miocene late Langhian - Tortonian</t>
        </is>
      </c>
      <c r="Y122" s="10" t="inlineStr">
        <is>
          <t>デイサイト・流紋岩 大規模火砕流</t>
        </is>
      </c>
      <c r="Z122" s="10" t="inlineStr">
        <is>
          <t>dacite &amp; rhyolite pyroclastic rocks</t>
        </is>
      </c>
      <c r="AA122" s="10" t="inlineStr">
        <is>
          <t>火成岩</t>
        </is>
      </c>
      <c r="AB122" s="10" t="inlineStr">
        <is>
          <t>Igneous rocks</t>
        </is>
      </c>
      <c r="AC122" s="10" t="inlineStr">
        <is>
          <t>Neogene-Paleogene Volcanic Complex</t>
        </is>
      </c>
    </row>
    <row r="123">
      <c r="A123" s="5" t="inlineStr">
        <is>
          <t>m200k_NI-52-12_u123</t>
        </is>
      </c>
      <c r="B123" s="6" t="inlineStr">
        <is>
          <t>col_7</t>
        </is>
      </c>
      <c r="C123" s="6" t="n">
        <v>4</v>
      </c>
      <c r="D123" s="7" t="inlineStr">
        <is>
          <t>Tortonian Dacite (Yatsushiro-Nomozaki Neogene-Paleogene)</t>
        </is>
      </c>
      <c r="E123" s="5" t="inlineStr">
        <is>
          <t>Yatsushiro-Nomozaki Neogene-Paleogene Volcanic Complex</t>
        </is>
      </c>
      <c r="F123" s="6" t="inlineStr">
        <is>
          <t>Tortonian</t>
        </is>
      </c>
      <c r="G123" s="8" t="n">
        <v>7.246</v>
      </c>
      <c r="H123" s="9">
        <f>IF(OR($F123="",$G123=""),"",IFERROR((VLOOKUP($F123,intervals!$A:$C,2,FALSE)-$G123)/(VLOOKUP($F123,intervals!$A:$C,2,FALSE)-VLOOKUP($F123,intervals!$A:$C,3,FALSE)),""))</f>
        <v/>
      </c>
      <c r="I123" s="6" t="inlineStr">
        <is>
          <t>Langhian</t>
        </is>
      </c>
      <c r="J123" s="8" t="n">
        <v>15.98</v>
      </c>
      <c r="K123" s="9">
        <f>IF(OR($I123="",$J123=""),"",IFERROR((VLOOKUP($I123,intervals!$A:$C,2,FALSE)-$J123)/(VLOOKUP($I123,intervals!$A:$C,2,FALSE)-VLOOKUP($I123,intervals!$A:$C,3,FALSE)),""))</f>
        <v/>
      </c>
      <c r="L123" s="7" t="inlineStr">
        <is>
          <t>dacite</t>
        </is>
      </c>
      <c r="M123" s="5" t="inlineStr">
        <is>
          <t>rhyolite</t>
        </is>
      </c>
      <c r="N123" s="5" t="inlineStr">
        <is>
          <t>volcanic</t>
        </is>
      </c>
      <c r="O123" s="5" t="inlineStr">
        <is>
          <t>Cenozoic Neogene Miocene late Langhian - Tortonian; dacite &amp; rhyolite lava &amp; pyroclastic rocks [Neogene-Paleogene Volcanic Complex]</t>
        </is>
      </c>
      <c r="P123" s="5" t="inlineStr"/>
      <c r="Q123" s="5" t="inlineStr"/>
      <c r="R123" s="5" t="inlineStr">
        <is>
          <t>unknown</t>
        </is>
      </c>
      <c r="S123" s="5" t="inlineStr"/>
      <c r="T123" s="5" t="inlineStr">
        <is>
          <t>GSJ 200k Seamless N2_vas_al</t>
        </is>
      </c>
      <c r="U123" s="5" t="inlineStr"/>
      <c r="V123" s="10" t="inlineStr">
        <is>
          <t>N2_vas_al</t>
        </is>
      </c>
      <c r="W123" s="10" t="inlineStr">
        <is>
          <t>新生代 新第三紀 中新世 後期ランギアン期〜トートニアン期</t>
        </is>
      </c>
      <c r="X123" s="10" t="inlineStr">
        <is>
          <t>Cenozoic Neogene Miocene late Langhian - Tortonian</t>
        </is>
      </c>
      <c r="Y123" s="10" t="inlineStr">
        <is>
          <t>デイサイト・流紋岩 溶岩・火砕岩</t>
        </is>
      </c>
      <c r="Z123" s="10" t="inlineStr">
        <is>
          <t>dacite &amp; rhyolite lava &amp; pyroclastic rocks</t>
        </is>
      </c>
      <c r="AA123" s="10" t="inlineStr">
        <is>
          <t>火成岩</t>
        </is>
      </c>
      <c r="AB123" s="10" t="inlineStr">
        <is>
          <t>Igneous rocks</t>
        </is>
      </c>
      <c r="AC123" s="10" t="inlineStr">
        <is>
          <t>Neogene-Paleogene Volcanic Complex</t>
        </is>
      </c>
    </row>
    <row r="124">
      <c r="A124" s="5" t="inlineStr">
        <is>
          <t>m200k_NI-52-12_u124</t>
        </is>
      </c>
      <c r="B124" s="6" t="inlineStr">
        <is>
          <t>col_7</t>
        </is>
      </c>
      <c r="C124" s="6" t="n">
        <v>5</v>
      </c>
      <c r="D124" s="7" t="inlineStr">
        <is>
          <t>Tortonian Andesite (Yatsushiro-Nomozaki Neogene-Paleogene)</t>
        </is>
      </c>
      <c r="E124" s="5" t="inlineStr">
        <is>
          <t>Yatsushiro-Nomozaki Neogene-Paleogene Volcanic Complex</t>
        </is>
      </c>
      <c r="F124" s="6" t="inlineStr">
        <is>
          <t>Tortonian</t>
        </is>
      </c>
      <c r="G124" s="8" t="n">
        <v>7.246</v>
      </c>
      <c r="H124" s="9">
        <f>IF(OR($F124="",$G124=""),"",IFERROR((VLOOKUP($F124,intervals!$A:$C,2,FALSE)-$G124)/(VLOOKUP($F124,intervals!$A:$C,2,FALSE)-VLOOKUP($F124,intervals!$A:$C,3,FALSE)),""))</f>
        <v/>
      </c>
      <c r="I124" s="6" t="inlineStr">
        <is>
          <t>Langhian</t>
        </is>
      </c>
      <c r="J124" s="8" t="n">
        <v>15.98</v>
      </c>
      <c r="K124" s="9">
        <f>IF(OR($I124="",$J124=""),"",IFERROR((VLOOKUP($I124,intervals!$A:$C,2,FALSE)-$J124)/(VLOOKUP($I124,intervals!$A:$C,2,FALSE)-VLOOKUP($I124,intervals!$A:$C,3,FALSE)),""))</f>
        <v/>
      </c>
      <c r="L124" s="7" t="inlineStr">
        <is>
          <t>andesite</t>
        </is>
      </c>
      <c r="M124" s="5" t="inlineStr"/>
      <c r="N124" s="5" t="inlineStr">
        <is>
          <t>volcanic</t>
        </is>
      </c>
      <c r="O124" s="5" t="inlineStr">
        <is>
          <t>Cenozoic Neogene Miocene late Langhian - Tortonian; andesite &amp; basaltic andesite lava &amp; pyroclastic rocks [Neogene-Paleogene Volcanic Complex]</t>
        </is>
      </c>
      <c r="P124" s="5" t="inlineStr"/>
      <c r="Q124" s="5" t="inlineStr"/>
      <c r="R124" s="5" t="inlineStr">
        <is>
          <t>unknown</t>
        </is>
      </c>
      <c r="S124" s="5" t="inlineStr"/>
      <c r="T124" s="5" t="inlineStr">
        <is>
          <t>GSJ 200k Seamless N2_vis_al</t>
        </is>
      </c>
      <c r="U124" s="5" t="inlineStr"/>
      <c r="V124" s="10" t="inlineStr">
        <is>
          <t>N2_vis_al</t>
        </is>
      </c>
      <c r="W124" s="10" t="inlineStr">
        <is>
          <t>新生代 新第三紀 中新世 後期ランギアン期〜トートニアン期</t>
        </is>
      </c>
      <c r="X124" s="10" t="inlineStr">
        <is>
          <t>Cenozoic Neogene Miocene late Langhian - Tortonian</t>
        </is>
      </c>
      <c r="Y124" s="10" t="inlineStr">
        <is>
          <t>安山岩・玄武岩質安山岩 溶岩・火砕岩</t>
        </is>
      </c>
      <c r="Z124" s="10" t="inlineStr">
        <is>
          <t>andesite &amp; basaltic andesite lava &amp; pyroclastic rocks</t>
        </is>
      </c>
      <c r="AA124" s="10" t="inlineStr">
        <is>
          <t>火成岩</t>
        </is>
      </c>
      <c r="AB124" s="10" t="inlineStr">
        <is>
          <t>Igneous rocks</t>
        </is>
      </c>
      <c r="AC124" s="10" t="inlineStr">
        <is>
          <t>Neogene-Paleogene Volcanic Complex</t>
        </is>
      </c>
    </row>
    <row r="125">
      <c r="A125" s="5" t="inlineStr">
        <is>
          <t>m200k_NI-52-12_u121</t>
        </is>
      </c>
      <c r="B125" s="6" t="inlineStr">
        <is>
          <t>col_7</t>
        </is>
      </c>
      <c r="C125" s="6" t="n">
        <v>6</v>
      </c>
      <c r="D125" s="7" t="inlineStr">
        <is>
          <t>Pliocene Andesite (Yatsushiro-Nomozaki Neogene-Paleogene)</t>
        </is>
      </c>
      <c r="E125" s="5" t="inlineStr">
        <is>
          <t>Yatsushiro-Nomozaki Neogene-Paleogene Volcanic Complex</t>
        </is>
      </c>
      <c r="F125" s="6" t="inlineStr">
        <is>
          <t>Pliocene</t>
        </is>
      </c>
      <c r="G125" s="8" t="n">
        <v>2.58</v>
      </c>
      <c r="H125" s="9">
        <f>IF(OR($F125="",$G125=""),"",IFERROR((VLOOKUP($F125,intervals!$A:$C,2,FALSE)-$G125)/(VLOOKUP($F125,intervals!$A:$C,2,FALSE)-VLOOKUP($F125,intervals!$A:$C,3,FALSE)),""))</f>
        <v/>
      </c>
      <c r="I125" s="6" t="inlineStr">
        <is>
          <t>Messinian</t>
        </is>
      </c>
      <c r="J125" s="8" t="n">
        <v>7.246</v>
      </c>
      <c r="K125" s="9">
        <f>IF(OR($I125="",$J125=""),"",IFERROR((VLOOKUP($I125,intervals!$A:$C,2,FALSE)-$J125)/(VLOOKUP($I125,intervals!$A:$C,2,FALSE)-VLOOKUP($I125,intervals!$A:$C,3,FALSE)),""))</f>
        <v/>
      </c>
      <c r="L125" s="7" t="inlineStr">
        <is>
          <t>andesite</t>
        </is>
      </c>
      <c r="M125" s="5" t="inlineStr"/>
      <c r="N125" s="5" t="inlineStr">
        <is>
          <t>volcanic</t>
        </is>
      </c>
      <c r="O125" s="5" t="inlineStr">
        <is>
          <t>Cenozoic Neogene Miocene Messinian - Pliocene; andesite &amp; basaltic andesite lava &amp; pyroclastic rocks [Neogene-Paleogene Volcanic Complex]</t>
        </is>
      </c>
      <c r="P125" s="5" t="inlineStr"/>
      <c r="Q125" s="5" t="inlineStr"/>
      <c r="R125" s="5" t="inlineStr">
        <is>
          <t>unknown</t>
        </is>
      </c>
      <c r="S125" s="5" t="inlineStr"/>
      <c r="T125" s="5" t="inlineStr">
        <is>
          <t>GSJ 200k Seamless N3_vis_al</t>
        </is>
      </c>
      <c r="U125" s="5" t="inlineStr"/>
      <c r="V125" s="10" t="inlineStr">
        <is>
          <t>N3_vis_al</t>
        </is>
      </c>
      <c r="W125" s="10" t="inlineStr">
        <is>
          <t>新生代 新第三紀 中新世 メッシニアン期〜鮮新世</t>
        </is>
      </c>
      <c r="X125" s="10" t="inlineStr">
        <is>
          <t>Cenozoic Neogene Miocene Messinian - Pliocene</t>
        </is>
      </c>
      <c r="Y125" s="10" t="inlineStr">
        <is>
          <t>安山岩・玄武岩質安山岩 溶岩・火砕岩</t>
        </is>
      </c>
      <c r="Z125" s="10" t="inlineStr">
        <is>
          <t>andesite &amp; basaltic andesite lava &amp; pyroclastic rocks</t>
        </is>
      </c>
      <c r="AA125" s="10" t="inlineStr">
        <is>
          <t>火成岩</t>
        </is>
      </c>
      <c r="AB125" s="10" t="inlineStr">
        <is>
          <t>Igneous rocks</t>
        </is>
      </c>
      <c r="AC125" s="10" t="inlineStr">
        <is>
          <t>Neogene-Paleogene Volcanic Complex</t>
        </is>
      </c>
    </row>
    <row r="126">
      <c r="A126" s="5" t="inlineStr">
        <is>
          <t>m200k_NI-52-12_u125</t>
        </is>
      </c>
      <c r="B126" s="6" t="inlineStr">
        <is>
          <t>col_8</t>
        </is>
      </c>
      <c r="C126" s="6" t="n">
        <v>1</v>
      </c>
      <c r="D126" s="7" t="inlineStr">
        <is>
          <t>Silurian Sedimentary (Yatsushiro-Nomozaki Paleozoic)</t>
        </is>
      </c>
      <c r="E126" s="5" t="inlineStr">
        <is>
          <t>Yatsushiro-Nomozaki Paleozoic Sedimentary Succession</t>
        </is>
      </c>
      <c r="F126" s="6" t="inlineStr">
        <is>
          <t>Silurian</t>
        </is>
      </c>
      <c r="G126" s="8" t="n">
        <v>419.62</v>
      </c>
      <c r="H126" s="9">
        <f>IF(OR($F126="",$G126=""),"",IFERROR((VLOOKUP($F126,intervals!$A:$C,2,FALSE)-$G126)/(VLOOKUP($F126,intervals!$A:$C,2,FALSE)-VLOOKUP($F126,intervals!$A:$C,3,FALSE)),""))</f>
        <v/>
      </c>
      <c r="I126" s="6" t="inlineStr">
        <is>
          <t>Ordovician</t>
        </is>
      </c>
      <c r="J126" s="8" t="n">
        <v>486.85</v>
      </c>
      <c r="K126" s="9">
        <f>IF(OR($I126="",$J126=""),"",IFERROR((VLOOKUP($I126,intervals!$A:$C,2,FALSE)-$J126)/(VLOOKUP($I126,intervals!$A:$C,2,FALSE)-VLOOKUP($I126,intervals!$A:$C,3,FALSE)),""))</f>
        <v/>
      </c>
      <c r="L126" s="7" t="inlineStr">
        <is>
          <t>sedimentary</t>
        </is>
      </c>
      <c r="M126" s="5" t="inlineStr"/>
      <c r="N126" s="5" t="inlineStr">
        <is>
          <t>unknown</t>
        </is>
      </c>
      <c r="O126" s="5" t="inlineStr">
        <is>
          <t>Paleozoic Ordovician - Silurian; ultramafic rocks island arc &amp; continental [Paleozoic Sedimentary Succession]</t>
        </is>
      </c>
      <c r="P126" s="5" t="inlineStr"/>
      <c r="Q126" s="5" t="inlineStr"/>
      <c r="R126" s="5" t="inlineStr">
        <is>
          <t>unknown</t>
        </is>
      </c>
      <c r="S126" s="5" t="inlineStr"/>
      <c r="T126" s="5" t="inlineStr">
        <is>
          <t>GSJ 200k Seamless O-S_pu_a</t>
        </is>
      </c>
      <c r="U126" s="5" t="inlineStr"/>
      <c r="V126" s="10" t="inlineStr">
        <is>
          <t>O-S_pu_a</t>
        </is>
      </c>
      <c r="W126" s="10" t="inlineStr">
        <is>
          <t>古生代 オルドビス紀〜シルル紀</t>
        </is>
      </c>
      <c r="X126" s="10" t="inlineStr">
        <is>
          <t>Paleozoic Ordovician - Silurian</t>
        </is>
      </c>
      <c r="Y126" s="10" t="inlineStr">
        <is>
          <t>超苦鉄質岩類 島弧・大陸</t>
        </is>
      </c>
      <c r="Z126" s="10" t="inlineStr">
        <is>
          <t>ultramafic rocks island arc &amp; continental</t>
        </is>
      </c>
      <c r="AA126" s="10" t="inlineStr">
        <is>
          <t>火成岩</t>
        </is>
      </c>
      <c r="AB126" s="10" t="inlineStr">
        <is>
          <t>Igneous rocks</t>
        </is>
      </c>
      <c r="AC126" s="10" t="inlineStr">
        <is>
          <t>Paleozoic Sedimentary Succession</t>
        </is>
      </c>
    </row>
    <row r="127">
      <c r="A127" s="5" t="inlineStr">
        <is>
          <t>m200k_NI-52-12_u126</t>
        </is>
      </c>
      <c r="B127" s="6" t="inlineStr">
        <is>
          <t>col_8</t>
        </is>
      </c>
      <c r="C127" s="6" t="n">
        <v>2</v>
      </c>
      <c r="D127" s="7" t="inlineStr">
        <is>
          <t>Devonian Limestone (Yatsushiro-Nomozaki Paleozoic)</t>
        </is>
      </c>
      <c r="E127" s="5" t="inlineStr">
        <is>
          <t>Yatsushiro-Nomozaki Paleozoic Sedimentary Succession</t>
        </is>
      </c>
      <c r="F127" s="6" t="inlineStr">
        <is>
          <t>Devonian</t>
        </is>
      </c>
      <c r="G127" s="8" t="n">
        <v>358.86</v>
      </c>
      <c r="H127" s="9">
        <f>IF(OR($F127="",$G127=""),"",IFERROR((VLOOKUP($F127,intervals!$A:$C,2,FALSE)-$G127)/(VLOOKUP($F127,intervals!$A:$C,2,FALSE)-VLOOKUP($F127,intervals!$A:$C,3,FALSE)),""))</f>
        <v/>
      </c>
      <c r="I127" s="6" t="inlineStr">
        <is>
          <t>Ordovician</t>
        </is>
      </c>
      <c r="J127" s="8" t="n">
        <v>486.85</v>
      </c>
      <c r="K127" s="9">
        <f>IF(OR($I127="",$J127=""),"",IFERROR((VLOOKUP($I127,intervals!$A:$C,2,FALSE)-$J127)/(VLOOKUP($I127,intervals!$A:$C,2,FALSE)-VLOOKUP($I127,intervals!$A:$C,3,FALSE)),""))</f>
        <v/>
      </c>
      <c r="L127" s="7" t="inlineStr">
        <is>
          <t>limestone</t>
        </is>
      </c>
      <c r="M127" s="5" t="inlineStr"/>
      <c r="N127" s="5" t="inlineStr">
        <is>
          <t>marine</t>
        </is>
      </c>
      <c r="O127" s="5" t="inlineStr">
        <is>
          <t>Paleozoic Ordovician Late - Early Devonian; marine limestone [Paleozoic Sedimentary Succession]</t>
        </is>
      </c>
      <c r="P127" s="5" t="inlineStr"/>
      <c r="Q127" s="5" t="inlineStr"/>
      <c r="R127" s="5" t="inlineStr">
        <is>
          <t>unknown</t>
        </is>
      </c>
      <c r="S127" s="5" t="inlineStr"/>
      <c r="T127" s="5" t="inlineStr">
        <is>
          <t>GSJ 200k Seamless O3-D1_sol</t>
        </is>
      </c>
      <c r="U127" s="5" t="inlineStr"/>
      <c r="V127" s="10" t="inlineStr">
        <is>
          <t>O3-D1_sol</t>
        </is>
      </c>
      <c r="W127" s="10" t="inlineStr">
        <is>
          <t>古生代 後期オルドビス紀〜前期デボン紀</t>
        </is>
      </c>
      <c r="X127" s="10" t="inlineStr">
        <is>
          <t>Paleozoic Ordovician Late - Early Devonian</t>
        </is>
      </c>
      <c r="Y127" s="10" t="inlineStr">
        <is>
          <t>海成層 石灰岩</t>
        </is>
      </c>
      <c r="Z127" s="10" t="inlineStr">
        <is>
          <t>marine limestone</t>
        </is>
      </c>
      <c r="AA127" s="10" t="inlineStr">
        <is>
          <t>堆積岩</t>
        </is>
      </c>
      <c r="AB127" s="10" t="inlineStr">
        <is>
          <t>Sedimentary rocks</t>
        </is>
      </c>
      <c r="AC127" s="10" t="inlineStr">
        <is>
          <t>Paleozoic Sedimentary Succession</t>
        </is>
      </c>
    </row>
    <row r="128">
      <c r="A128" s="5" t="inlineStr">
        <is>
          <t>m200k_NI-52-12_u127</t>
        </is>
      </c>
      <c r="B128" s="6" t="inlineStr">
        <is>
          <t>col_8</t>
        </is>
      </c>
      <c r="C128" s="6" t="n">
        <v>3</v>
      </c>
      <c r="D128" s="7" t="inlineStr">
        <is>
          <t>Devonian Mudstone (Yatsushiro-Nomozaki Paleozoic)</t>
        </is>
      </c>
      <c r="E128" s="5" t="inlineStr">
        <is>
          <t>Yatsushiro-Nomozaki Paleozoic Sedimentary Succession</t>
        </is>
      </c>
      <c r="F128" s="6" t="inlineStr">
        <is>
          <t>Devonian</t>
        </is>
      </c>
      <c r="G128" s="8" t="n">
        <v>358.86</v>
      </c>
      <c r="H128" s="9">
        <f>IF(OR($F128="",$G128=""),"",IFERROR((VLOOKUP($F128,intervals!$A:$C,2,FALSE)-$G128)/(VLOOKUP($F128,intervals!$A:$C,2,FALSE)-VLOOKUP($F128,intervals!$A:$C,3,FALSE)),""))</f>
        <v/>
      </c>
      <c r="I128" s="6" t="inlineStr">
        <is>
          <t>Ordovician</t>
        </is>
      </c>
      <c r="J128" s="8" t="n">
        <v>486.85</v>
      </c>
      <c r="K128" s="9">
        <f>IF(OR($I128="",$J128=""),"",IFERROR((VLOOKUP($I128,intervals!$A:$C,2,FALSE)-$J128)/(VLOOKUP($I128,intervals!$A:$C,2,FALSE)-VLOOKUP($I128,intervals!$A:$C,3,FALSE)),""))</f>
        <v/>
      </c>
      <c r="L128" s="7" t="inlineStr">
        <is>
          <t>mudstone</t>
        </is>
      </c>
      <c r="M128" s="5" t="inlineStr"/>
      <c r="N128" s="5" t="inlineStr">
        <is>
          <t>marine</t>
        </is>
      </c>
      <c r="O128" s="5" t="inlineStr">
        <is>
          <t>Paleozoic Ordovician Late - Early Devonian; marine mudstone [Paleozoic Sedimentary Succession]</t>
        </is>
      </c>
      <c r="P128" s="5" t="inlineStr"/>
      <c r="Q128" s="5" t="inlineStr"/>
      <c r="R128" s="5" t="inlineStr">
        <is>
          <t>unknown</t>
        </is>
      </c>
      <c r="S128" s="5" t="inlineStr"/>
      <c r="T128" s="5" t="inlineStr">
        <is>
          <t>GSJ 200k Seamless O3-D1_som</t>
        </is>
      </c>
      <c r="U128" s="5" t="inlineStr"/>
      <c r="V128" s="10" t="inlineStr">
        <is>
          <t>O3-D1_som</t>
        </is>
      </c>
      <c r="W128" s="10" t="inlineStr">
        <is>
          <t>古生代 後期オルドビス紀〜前期デボン紀</t>
        </is>
      </c>
      <c r="X128" s="10" t="inlineStr">
        <is>
          <t>Paleozoic Ordovician Late - Early Devonian</t>
        </is>
      </c>
      <c r="Y128" s="10" t="inlineStr">
        <is>
          <t>海成層 泥岩</t>
        </is>
      </c>
      <c r="Z128" s="10" t="inlineStr">
        <is>
          <t>marine mudstone</t>
        </is>
      </c>
      <c r="AA128" s="10" t="inlineStr">
        <is>
          <t>堆積岩</t>
        </is>
      </c>
      <c r="AB128" s="10" t="inlineStr">
        <is>
          <t>Sedimentary rocks</t>
        </is>
      </c>
      <c r="AC128" s="10" t="inlineStr">
        <is>
          <t>Paleozoic Sedimentary Succession</t>
        </is>
      </c>
    </row>
    <row r="129">
      <c r="A129" s="5" t="inlineStr">
        <is>
          <t>m200k_NI-52-12_u128</t>
        </is>
      </c>
      <c r="B129" s="6" t="inlineStr">
        <is>
          <t>col_8</t>
        </is>
      </c>
      <c r="C129" s="6" t="n">
        <v>4</v>
      </c>
      <c r="D129" s="7" t="inlineStr">
        <is>
          <t>Devonian Mudstone (Yatsushiro-Nomozaki Paleozoic)</t>
        </is>
      </c>
      <c r="E129" s="5" t="inlineStr">
        <is>
          <t>Yatsushiro-Nomozaki Paleozoic Sedimentary Succession</t>
        </is>
      </c>
      <c r="F129" s="6" t="inlineStr">
        <is>
          <t>Devonian</t>
        </is>
      </c>
      <c r="G129" s="8" t="n">
        <v>358.86</v>
      </c>
      <c r="H129" s="9">
        <f>IF(OR($F129="",$G129=""),"",IFERROR((VLOOKUP($F129,intervals!$A:$C,2,FALSE)-$G129)/(VLOOKUP($F129,intervals!$A:$C,2,FALSE)-VLOOKUP($F129,intervals!$A:$C,3,FALSE)),""))</f>
        <v/>
      </c>
      <c r="I129" s="6" t="inlineStr">
        <is>
          <t>Devonian</t>
        </is>
      </c>
      <c r="J129" s="8" t="n">
        <v>419.62</v>
      </c>
      <c r="K129" s="9">
        <f>IF(OR($I129="",$J129=""),"",IFERROR((VLOOKUP($I129,intervals!$A:$C,2,FALSE)-$J129)/(VLOOKUP($I129,intervals!$A:$C,2,FALSE)-VLOOKUP($I129,intervals!$A:$C,3,FALSE)),""))</f>
        <v/>
      </c>
      <c r="L129" s="7" t="inlineStr">
        <is>
          <t>mudstone</t>
        </is>
      </c>
      <c r="M129" s="5" t="inlineStr"/>
      <c r="N129" s="5" t="inlineStr">
        <is>
          <t>marine</t>
        </is>
      </c>
      <c r="O129" s="5" t="inlineStr">
        <is>
          <t>Paleozoic Middle Devonian - Late Devonian; marine mudstone [Paleozoic Sedimentary Succession]</t>
        </is>
      </c>
      <c r="P129" s="5" t="inlineStr"/>
      <c r="Q129" s="5" t="inlineStr"/>
      <c r="R129" s="5" t="inlineStr">
        <is>
          <t>unknown</t>
        </is>
      </c>
      <c r="S129" s="5" t="inlineStr"/>
      <c r="T129" s="5" t="inlineStr">
        <is>
          <t>GSJ 200k Seamless D2-3_som</t>
        </is>
      </c>
      <c r="U129" s="5" t="inlineStr"/>
      <c r="V129" s="10" t="inlineStr">
        <is>
          <t>D2-3_som</t>
        </is>
      </c>
      <c r="W129" s="10" t="inlineStr">
        <is>
          <t>古生代 中期デボン紀〜後期デボン紀</t>
        </is>
      </c>
      <c r="X129" s="10" t="inlineStr">
        <is>
          <t>Paleozoic Middle Devonian - Late Devonian</t>
        </is>
      </c>
      <c r="Y129" s="10" t="inlineStr">
        <is>
          <t>海成層 泥岩</t>
        </is>
      </c>
      <c r="Z129" s="10" t="inlineStr">
        <is>
          <t>marine mudstone</t>
        </is>
      </c>
      <c r="AA129" s="10" t="inlineStr">
        <is>
          <t>堆積岩</t>
        </is>
      </c>
      <c r="AB129" s="10" t="inlineStr">
        <is>
          <t>Sedimentary rocks</t>
        </is>
      </c>
      <c r="AC129" s="10" t="inlineStr">
        <is>
          <t>Paleozoic Sedimentary Succession</t>
        </is>
      </c>
    </row>
    <row r="130">
      <c r="A130" s="5" t="inlineStr">
        <is>
          <t>m200k_NI-52-12_u130</t>
        </is>
      </c>
      <c r="B130" s="6" t="inlineStr">
        <is>
          <t>col_9</t>
        </is>
      </c>
      <c r="C130" s="6" t="n">
        <v>1</v>
      </c>
      <c r="D130" s="7" t="inlineStr">
        <is>
          <t>Langhian Conglomerate (Yatsushiro-Nomozaki Neogene)</t>
        </is>
      </c>
      <c r="E130" s="5" t="inlineStr">
        <is>
          <t>Yatsushiro-Nomozaki Neogene Sedimentary Basin</t>
        </is>
      </c>
      <c r="F130" s="6" t="inlineStr">
        <is>
          <t>Langhian</t>
        </is>
      </c>
      <c r="G130" s="8" t="n">
        <v>13.82</v>
      </c>
      <c r="H130" s="9">
        <f>IF(OR($F130="",$G130=""),"",IFERROR((VLOOKUP($F130,intervals!$A:$C,2,FALSE)-$G130)/(VLOOKUP($F130,intervals!$A:$C,2,FALSE)-VLOOKUP($F130,intervals!$A:$C,3,FALSE)),""))</f>
        <v/>
      </c>
      <c r="I130" s="6" t="inlineStr">
        <is>
          <t>Burdigalian</t>
        </is>
      </c>
      <c r="J130" s="8" t="n">
        <v>20.45</v>
      </c>
      <c r="K130" s="9">
        <f>IF(OR($I130="",$J130=""),"",IFERROR((VLOOKUP($I130,intervals!$A:$C,2,FALSE)-$J130)/(VLOOKUP($I130,intervals!$A:$C,2,FALSE)-VLOOKUP($I130,intervals!$A:$C,3,FALSE)),""))</f>
        <v/>
      </c>
      <c r="L130" s="7" t="inlineStr">
        <is>
          <t>conglomerate</t>
        </is>
      </c>
      <c r="M130" s="5" t="inlineStr"/>
      <c r="N130" s="5" t="inlineStr">
        <is>
          <t>marine</t>
        </is>
      </c>
      <c r="O130" s="5" t="inlineStr">
        <is>
          <t>Cenozoic Neogene Miocene Burdigalian - early Langhian; non-marine conglomerate [Neogene Sedimentary Basin]</t>
        </is>
      </c>
      <c r="P130" s="5" t="inlineStr"/>
      <c r="Q130" s="5" t="inlineStr"/>
      <c r="R130" s="5" t="inlineStr">
        <is>
          <t>unknown</t>
        </is>
      </c>
      <c r="S130" s="5" t="inlineStr"/>
      <c r="T130" s="5" t="inlineStr">
        <is>
          <t>GSJ 200k Seamless N1_snc</t>
        </is>
      </c>
      <c r="U130" s="5" t="inlineStr"/>
      <c r="V130" s="10" t="inlineStr">
        <is>
          <t>N1_snc</t>
        </is>
      </c>
      <c r="W130" s="10" t="inlineStr">
        <is>
          <t>新生代 新第三紀 中新世 バーディガリアン期〜前期ランギアン期</t>
        </is>
      </c>
      <c r="X130" s="10" t="inlineStr">
        <is>
          <t>Cenozoic Neogene Miocene Burdigalian - early Langhian</t>
        </is>
      </c>
      <c r="Y130" s="10" t="inlineStr">
        <is>
          <t>非海成層 礫岩</t>
        </is>
      </c>
      <c r="Z130" s="10" t="inlineStr">
        <is>
          <t>non-marine conglomerate</t>
        </is>
      </c>
      <c r="AA130" s="10" t="inlineStr">
        <is>
          <t>堆積岩</t>
        </is>
      </c>
      <c r="AB130" s="10" t="inlineStr">
        <is>
          <t>Sedimentary rocks</t>
        </is>
      </c>
      <c r="AC130" s="10" t="inlineStr">
        <is>
          <t>Neogene Sedimentary Basin</t>
        </is>
      </c>
    </row>
    <row r="131">
      <c r="A131" s="5" t="inlineStr">
        <is>
          <t>m200k_NI-52-12_u131</t>
        </is>
      </c>
      <c r="B131" s="6" t="inlineStr">
        <is>
          <t>col_9</t>
        </is>
      </c>
      <c r="C131" s="6" t="n">
        <v>2</v>
      </c>
      <c r="D131" s="7" t="inlineStr">
        <is>
          <t>Serravallian Tonalite (Yatsushiro-Nomozaki Neogene)</t>
        </is>
      </c>
      <c r="E131" s="5" t="inlineStr">
        <is>
          <t>Yatsushiro-Nomozaki Neogene Sedimentary Basin</t>
        </is>
      </c>
      <c r="F131" s="6" t="inlineStr">
        <is>
          <t>Serravallian</t>
        </is>
      </c>
      <c r="G131" s="8" t="n">
        <v>11.63</v>
      </c>
      <c r="H131" s="9">
        <f>IF(OR($F131="",$G131=""),"",IFERROR((VLOOKUP($F131,intervals!$A:$C,2,FALSE)-$G131)/(VLOOKUP($F131,intervals!$A:$C,2,FALSE)-VLOOKUP($F131,intervals!$A:$C,3,FALSE)),""))</f>
        <v/>
      </c>
      <c r="I131" s="6" t="inlineStr">
        <is>
          <t>Langhian</t>
        </is>
      </c>
      <c r="J131" s="8" t="n">
        <v>15.98</v>
      </c>
      <c r="K131" s="9">
        <f>IF(OR($I131="",$J131=""),"",IFERROR((VLOOKUP($I131,intervals!$A:$C,2,FALSE)-$J131)/(VLOOKUP($I131,intervals!$A:$C,2,FALSE)-VLOOKUP($I131,intervals!$A:$C,3,FALSE)),""))</f>
        <v/>
      </c>
      <c r="L131" s="7" t="inlineStr">
        <is>
          <t>tonalite</t>
        </is>
      </c>
      <c r="M131" s="5" t="inlineStr"/>
      <c r="N131" s="5" t="inlineStr">
        <is>
          <t>unknown</t>
        </is>
      </c>
      <c r="O131" s="5" t="inlineStr">
        <is>
          <t>Cenozoic Neogene Miocene late Langhian - early Serravallian; mssive granodiolite &amp; tonalite island arc &amp; continental [Neogene Sedimentary Basin]</t>
        </is>
      </c>
      <c r="P131" s="5" t="inlineStr"/>
      <c r="Q131" s="5" t="inlineStr"/>
      <c r="R131" s="5" t="inlineStr">
        <is>
          <t>unknown</t>
        </is>
      </c>
      <c r="S131" s="5" t="inlineStr"/>
      <c r="T131" s="5" t="inlineStr">
        <is>
          <t>GSJ 200k Seamless N21_pim_a</t>
        </is>
      </c>
      <c r="U131" s="5" t="inlineStr"/>
      <c r="V131" s="10" t="inlineStr">
        <is>
          <t>N21_pim_a</t>
        </is>
      </c>
      <c r="W131" s="10" t="inlineStr">
        <is>
          <t>新生代 新第三紀 中新世 後期ランギアン期〜前期サーラバリアン期</t>
        </is>
      </c>
      <c r="X131" s="10" t="inlineStr">
        <is>
          <t>Cenozoic Neogene Miocene late Langhian - early Serravallian</t>
        </is>
      </c>
      <c r="Y131" s="10" t="inlineStr">
        <is>
          <t>花崗閃緑岩・トーナル岩 塊状 島弧・大陸</t>
        </is>
      </c>
      <c r="Z131" s="10" t="inlineStr">
        <is>
          <t>mssive granodiolite &amp; tonalite island arc &amp; continental</t>
        </is>
      </c>
      <c r="AA131" s="10" t="inlineStr">
        <is>
          <t>火成岩</t>
        </is>
      </c>
      <c r="AB131" s="10" t="inlineStr">
        <is>
          <t>Igneous rocks</t>
        </is>
      </c>
      <c r="AC131" s="10" t="inlineStr">
        <is>
          <t>Neogene Sedimentary Basin</t>
        </is>
      </c>
    </row>
    <row r="132">
      <c r="A132" s="5" t="inlineStr">
        <is>
          <t>m200k_NI-52-12_u129</t>
        </is>
      </c>
      <c r="B132" s="6" t="inlineStr">
        <is>
          <t>col_9</t>
        </is>
      </c>
      <c r="C132" s="6" t="n">
        <v>3</v>
      </c>
      <c r="D132" s="7" t="inlineStr">
        <is>
          <t>Pliocene Conglomerate (Yatsushiro-Nomozaki Neogene)</t>
        </is>
      </c>
      <c r="E132" s="5" t="inlineStr">
        <is>
          <t>Yatsushiro-Nomozaki Neogene Sedimentary Basin</t>
        </is>
      </c>
      <c r="F132" s="6" t="inlineStr">
        <is>
          <t>Pliocene</t>
        </is>
      </c>
      <c r="G132" s="8" t="n">
        <v>2.58</v>
      </c>
      <c r="H132" s="9">
        <f>IF(OR($F132="",$G132=""),"",IFERROR((VLOOKUP($F132,intervals!$A:$C,2,FALSE)-$G132)/(VLOOKUP($F132,intervals!$A:$C,2,FALSE)-VLOOKUP($F132,intervals!$A:$C,3,FALSE)),""))</f>
        <v/>
      </c>
      <c r="I132" s="6" t="inlineStr">
        <is>
          <t>Messinian</t>
        </is>
      </c>
      <c r="J132" s="8" t="n">
        <v>7.246</v>
      </c>
      <c r="K132" s="9">
        <f>IF(OR($I132="",$J132=""),"",IFERROR((VLOOKUP($I132,intervals!$A:$C,2,FALSE)-$J132)/(VLOOKUP($I132,intervals!$A:$C,2,FALSE)-VLOOKUP($I132,intervals!$A:$C,3,FALSE)),""))</f>
        <v/>
      </c>
      <c r="L132" s="7" t="inlineStr">
        <is>
          <t>conglomerate</t>
        </is>
      </c>
      <c r="M132" s="5" t="inlineStr"/>
      <c r="N132" s="5" t="inlineStr">
        <is>
          <t>marine</t>
        </is>
      </c>
      <c r="O132" s="5" t="inlineStr">
        <is>
          <t>Cenozoic Neogene Miocene Messinian - Pliocene; non-marine conglomerate [Neogene Sedimentary Basin]</t>
        </is>
      </c>
      <c r="P132" s="5" t="inlineStr"/>
      <c r="Q132" s="5" t="inlineStr"/>
      <c r="R132" s="5" t="inlineStr">
        <is>
          <t>unknown</t>
        </is>
      </c>
      <c r="S132" s="5" t="inlineStr"/>
      <c r="T132" s="5" t="inlineStr">
        <is>
          <t>GSJ 200k Seamless N3_snc</t>
        </is>
      </c>
      <c r="U132" s="5" t="inlineStr"/>
      <c r="V132" s="10" t="inlineStr">
        <is>
          <t>N3_snc</t>
        </is>
      </c>
      <c r="W132" s="10" t="inlineStr">
        <is>
          <t>新生代 新第三紀 中新世 メッシニアン期〜鮮新世</t>
        </is>
      </c>
      <c r="X132" s="10" t="inlineStr">
        <is>
          <t>Cenozoic Neogene Miocene Messinian - Pliocene</t>
        </is>
      </c>
      <c r="Y132" s="10" t="inlineStr">
        <is>
          <t>非海成層 礫岩</t>
        </is>
      </c>
      <c r="Z132" s="10" t="inlineStr">
        <is>
          <t>non-marine conglomerate</t>
        </is>
      </c>
      <c r="AA132" s="10" t="inlineStr">
        <is>
          <t>堆積岩</t>
        </is>
      </c>
      <c r="AB132" s="10" t="inlineStr">
        <is>
          <t>Sedimentary rocks</t>
        </is>
      </c>
      <c r="AC132" s="10" t="inlineStr">
        <is>
          <t>Neogene Sedimentary Basin</t>
        </is>
      </c>
    </row>
    <row r="133">
      <c r="A133" s="5" t="inlineStr">
        <is>
          <t>m200k_NI-52-12_u132</t>
        </is>
      </c>
      <c r="B133" s="6" t="inlineStr">
        <is>
          <t>col_10</t>
        </is>
      </c>
      <c r="C133" s="6" t="n">
        <v>1</v>
      </c>
      <c r="D133" s="7" t="inlineStr">
        <is>
          <t>Priabonian Sandstone (Yatsushiro-Nomozaki Sedimentary)</t>
        </is>
      </c>
      <c r="E133" s="5" t="inlineStr">
        <is>
          <t>Yatsushiro-Nomozaki Sedimentary rocks Succession</t>
        </is>
      </c>
      <c r="F133" s="6" t="inlineStr">
        <is>
          <t>Priabonian</t>
        </is>
      </c>
      <c r="G133" s="8" t="n">
        <v>33.9</v>
      </c>
      <c r="H133" s="9">
        <f>IF(OR($F133="",$G133=""),"",IFERROR((VLOOKUP($F133,intervals!$A:$C,2,FALSE)-$G133)/(VLOOKUP($F133,intervals!$A:$C,2,FALSE)-VLOOKUP($F133,intervals!$A:$C,3,FALSE)),""))</f>
        <v/>
      </c>
      <c r="I133" s="6" t="inlineStr">
        <is>
          <t>Lutetian</t>
        </is>
      </c>
      <c r="J133" s="8" t="n">
        <v>48.07</v>
      </c>
      <c r="K133" s="9">
        <f>IF(OR($I133="",$J133=""),"",IFERROR((VLOOKUP($I133,intervals!$A:$C,2,FALSE)-$J133)/(VLOOKUP($I133,intervals!$A:$C,2,FALSE)-VLOOKUP($I133,intervals!$A:$C,3,FALSE)),""))</f>
        <v/>
      </c>
      <c r="L133" s="7" t="inlineStr">
        <is>
          <t>sandstone</t>
        </is>
      </c>
      <c r="M133" s="5" t="inlineStr"/>
      <c r="N133" s="5" t="inlineStr">
        <is>
          <t>marine</t>
        </is>
      </c>
      <c r="O133" s="5" t="inlineStr">
        <is>
          <t>Cenozoic Paleogene Eocene Lutetian - Priabonian; marine sandstone [Sedimentary rocks Succession]</t>
        </is>
      </c>
      <c r="P133" s="5" t="inlineStr"/>
      <c r="Q133" s="5" t="inlineStr"/>
      <c r="R133" s="5" t="inlineStr">
        <is>
          <t>unknown</t>
        </is>
      </c>
      <c r="S133" s="5" t="inlineStr"/>
      <c r="T133" s="5" t="inlineStr">
        <is>
          <t>GSJ 200k Seamless Pg2_soss</t>
        </is>
      </c>
      <c r="U133" s="5" t="inlineStr"/>
      <c r="V133" s="10" t="inlineStr">
        <is>
          <t>Pg2_soss</t>
        </is>
      </c>
      <c r="W133" s="10" t="inlineStr">
        <is>
          <t>新生代 古第三紀 始新世 ルテシアン期〜プリアボニアン期</t>
        </is>
      </c>
      <c r="X133" s="10" t="inlineStr">
        <is>
          <t>Cenozoic Paleogene Eocene Lutetian - Priabonian</t>
        </is>
      </c>
      <c r="Y133" s="10" t="inlineStr">
        <is>
          <t>海成層 砂岩</t>
        </is>
      </c>
      <c r="Z133" s="10" t="inlineStr">
        <is>
          <t>marine sandstone</t>
        </is>
      </c>
      <c r="AA133" s="10" t="inlineStr">
        <is>
          <t>堆積岩</t>
        </is>
      </c>
      <c r="AB133" s="10" t="inlineStr">
        <is>
          <t>Sedimentary rocks</t>
        </is>
      </c>
      <c r="AC133" s="10" t="inlineStr">
        <is>
          <t>Sedimentary rocks Succession</t>
        </is>
      </c>
    </row>
    <row r="134">
      <c r="A134" s="5" t="inlineStr">
        <is>
          <t>m200k_NI-52-12_u133</t>
        </is>
      </c>
      <c r="B134" s="6" t="inlineStr">
        <is>
          <t>col_10</t>
        </is>
      </c>
      <c r="C134" s="6" t="n">
        <v>2</v>
      </c>
      <c r="D134" s="7" t="inlineStr">
        <is>
          <t>Priabonian Mudstone (Yatsushiro-Nomozaki Sedimentary)</t>
        </is>
      </c>
      <c r="E134" s="5" t="inlineStr">
        <is>
          <t>Yatsushiro-Nomozaki Sedimentary rocks Succession</t>
        </is>
      </c>
      <c r="F134" s="6" t="inlineStr">
        <is>
          <t>Priabonian</t>
        </is>
      </c>
      <c r="G134" s="8" t="n">
        <v>33.9</v>
      </c>
      <c r="H134" s="9">
        <f>IF(OR($F134="",$G134=""),"",IFERROR((VLOOKUP($F134,intervals!$A:$C,2,FALSE)-$G134)/(VLOOKUP($F134,intervals!$A:$C,2,FALSE)-VLOOKUP($F134,intervals!$A:$C,3,FALSE)),""))</f>
        <v/>
      </c>
      <c r="I134" s="6" t="inlineStr">
        <is>
          <t>Lutetian</t>
        </is>
      </c>
      <c r="J134" s="8" t="n">
        <v>48.07</v>
      </c>
      <c r="K134" s="9">
        <f>IF(OR($I134="",$J134=""),"",IFERROR((VLOOKUP($I134,intervals!$A:$C,2,FALSE)-$J134)/(VLOOKUP($I134,intervals!$A:$C,2,FALSE)-VLOOKUP($I134,intervals!$A:$C,3,FALSE)),""))</f>
        <v/>
      </c>
      <c r="L134" s="7" t="inlineStr">
        <is>
          <t>mudstone</t>
        </is>
      </c>
      <c r="M134" s="5" t="inlineStr"/>
      <c r="N134" s="5" t="inlineStr">
        <is>
          <t>marine</t>
        </is>
      </c>
      <c r="O134" s="5" t="inlineStr">
        <is>
          <t>Cenozoic Paleogene Eocene Lutetian - Priabonian; marine mudstone [Sedimentary rocks Succession]</t>
        </is>
      </c>
      <c r="P134" s="5" t="inlineStr"/>
      <c r="Q134" s="5" t="inlineStr"/>
      <c r="R134" s="5" t="inlineStr">
        <is>
          <t>unknown</t>
        </is>
      </c>
      <c r="S134" s="5" t="inlineStr"/>
      <c r="T134" s="5" t="inlineStr">
        <is>
          <t>GSJ 200k Seamless Pg2_som</t>
        </is>
      </c>
      <c r="U134" s="5" t="inlineStr"/>
      <c r="V134" s="10" t="inlineStr">
        <is>
          <t>Pg2_som</t>
        </is>
      </c>
      <c r="W134" s="10" t="inlineStr">
        <is>
          <t>新生代 古第三紀 始新世 ルテシアン期〜プリアボニアン期</t>
        </is>
      </c>
      <c r="X134" s="10" t="inlineStr">
        <is>
          <t>Cenozoic Paleogene Eocene Lutetian - Priabonian</t>
        </is>
      </c>
      <c r="Y134" s="10" t="inlineStr">
        <is>
          <t>海成層 泥岩</t>
        </is>
      </c>
      <c r="Z134" s="10" t="inlineStr">
        <is>
          <t>marine mudstone</t>
        </is>
      </c>
      <c r="AA134" s="10" t="inlineStr">
        <is>
          <t>堆積岩</t>
        </is>
      </c>
      <c r="AB134" s="10" t="inlineStr">
        <is>
          <t>Sedimentary rocks</t>
        </is>
      </c>
      <c r="AC134" s="10" t="inlineStr">
        <is>
          <t>Sedimentary rocks Succession</t>
        </is>
      </c>
    </row>
    <row r="135">
      <c r="A135" s="5" t="inlineStr">
        <is>
          <t>m200k_NI-52-12_u134</t>
        </is>
      </c>
      <c r="B135" s="6" t="inlineStr">
        <is>
          <t>col_10</t>
        </is>
      </c>
      <c r="C135" s="6" t="n">
        <v>3</v>
      </c>
      <c r="D135" s="7" t="inlineStr">
        <is>
          <t>Priabonian Sandstone (Yatsushiro-Nomozaki Sedimentary)</t>
        </is>
      </c>
      <c r="E135" s="5" t="inlineStr">
        <is>
          <t>Yatsushiro-Nomozaki Sedimentary rocks Succession</t>
        </is>
      </c>
      <c r="F135" s="6" t="inlineStr">
        <is>
          <t>Priabonian</t>
        </is>
      </c>
      <c r="G135" s="8" t="n">
        <v>33.9</v>
      </c>
      <c r="H135" s="9">
        <f>IF(OR($F135="",$G135=""),"",IFERROR((VLOOKUP($F135,intervals!$A:$C,2,FALSE)-$G135)/(VLOOKUP($F135,intervals!$A:$C,2,FALSE)-VLOOKUP($F135,intervals!$A:$C,3,FALSE)),""))</f>
        <v/>
      </c>
      <c r="I135" s="6" t="inlineStr">
        <is>
          <t>Lutetian</t>
        </is>
      </c>
      <c r="J135" s="8" t="n">
        <v>48.07</v>
      </c>
      <c r="K135" s="9">
        <f>IF(OR($I135="",$J135=""),"",IFERROR((VLOOKUP($I135,intervals!$A:$C,2,FALSE)-$J135)/(VLOOKUP($I135,intervals!$A:$C,2,FALSE)-VLOOKUP($I135,intervals!$A:$C,3,FALSE)),""))</f>
        <v/>
      </c>
      <c r="L135" s="7" t="inlineStr">
        <is>
          <t>sandstone</t>
        </is>
      </c>
      <c r="M135" s="5" t="inlineStr">
        <is>
          <t>mudstone</t>
        </is>
      </c>
      <c r="N135" s="5" t="inlineStr">
        <is>
          <t>marine</t>
        </is>
      </c>
      <c r="O135" s="5" t="inlineStr">
        <is>
          <t>Cenozoic Paleogene Eocene Lutetian - Priabonian; marine alternation of sandstone &amp; mudstone [Sedimentary rocks Succession]</t>
        </is>
      </c>
      <c r="P135" s="5" t="inlineStr"/>
      <c r="Q135" s="5" t="inlineStr"/>
      <c r="R135" s="5" t="inlineStr">
        <is>
          <t>unknown</t>
        </is>
      </c>
      <c r="S135" s="5" t="inlineStr"/>
      <c r="T135" s="5" t="inlineStr">
        <is>
          <t>GSJ 200k Seamless Pg2_sosma</t>
        </is>
      </c>
      <c r="U135" s="5" t="inlineStr"/>
      <c r="V135" s="10" t="inlineStr">
        <is>
          <t>Pg2_sosma</t>
        </is>
      </c>
      <c r="W135" s="10" t="inlineStr">
        <is>
          <t>新生代 古第三紀 始新世 ルテシアン期〜プリアボニアン期</t>
        </is>
      </c>
      <c r="X135" s="10" t="inlineStr">
        <is>
          <t>Cenozoic Paleogene Eocene Lutetian - Priabonian</t>
        </is>
      </c>
      <c r="Y135" s="10" t="inlineStr">
        <is>
          <t>海成層 砂岩泥岩互層</t>
        </is>
      </c>
      <c r="Z135" s="10" t="inlineStr">
        <is>
          <t>marine alternation of sandstone &amp; mudstone</t>
        </is>
      </c>
      <c r="AA135" s="10" t="inlineStr">
        <is>
          <t>堆積岩</t>
        </is>
      </c>
      <c r="AB135" s="10" t="inlineStr">
        <is>
          <t>Sedimentary rocks</t>
        </is>
      </c>
      <c r="AC135" s="10" t="inlineStr">
        <is>
          <t>Sedimentary rocks Succession</t>
        </is>
      </c>
    </row>
  </sheetData>
  <autoFilter ref="A1:AC1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Yatsushiro-Nomozaki (Quaternary Basin &amp; Terrace Deposits) Column</t>
        </is>
      </c>
      <c r="C2" s="11" t="inlineStr">
        <is>
          <t>GSJ_200K_NI_52_12_Quaternary_Basin_and_Terrace_Deposits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POLYGON((130.0 32.0, 131.0 32.0, 131.0 32.666667, 130.0 32.666667, 130.0 32.0))</t>
        </is>
      </c>
      <c r="J2" s="11" t="inlineStr">
        <is>
          <t>POINT(130.5 32.333333499999995)</t>
        </is>
      </c>
      <c r="K2" s="11" t="inlineStr">
        <is>
          <t>GSJ 200k Tectonic Skeleton: Quaternary Basin &amp; Terrace Deposits in 八代及び野母崎の一部 (NI-52-12)</t>
        </is>
      </c>
    </row>
    <row r="3">
      <c r="A3" s="11" t="inlineStr">
        <is>
          <t>col_2</t>
        </is>
      </c>
      <c r="B3" s="11" t="inlineStr">
        <is>
          <t>Yatsushiro-Nomozaki (Quaternary Volcanic Arc) Column</t>
        </is>
      </c>
      <c r="C3" s="11" t="inlineStr">
        <is>
          <t>GSJ_200K_NI_52_12_Quaternary_Volcanic_Arc</t>
        </is>
      </c>
      <c r="D3" s="11" t="inlineStr">
        <is>
          <t>Quaternary Volcanic Arc</t>
        </is>
      </c>
      <c r="E3" s="11" t="inlineStr">
        <is>
          <t>Gelasian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POLYGON((130.0 32.0, 131.0 32.0, 131.0 32.666667, 130.0 32.666667, 130.0 32.0))</t>
        </is>
      </c>
      <c r="J3" s="11" t="inlineStr">
        <is>
          <t>POINT(130.5 32.333333499999995)</t>
        </is>
      </c>
      <c r="K3" s="11" t="inlineStr">
        <is>
          <t>GSJ 200k Tectonic Skeleton: Quaternary Volcanic Arc in 八代及び野母崎の一部 (NI-52-12)</t>
        </is>
      </c>
    </row>
    <row r="4">
      <c r="A4" s="11" t="inlineStr">
        <is>
          <t>col_3</t>
        </is>
      </c>
      <c r="B4" s="11" t="inlineStr">
        <is>
          <t>Yatsushiro-Nomozaki (Metamorphic Belt) Column</t>
        </is>
      </c>
      <c r="C4" s="11" t="inlineStr">
        <is>
          <t>GSJ_200K_NI_52_12_Metamorphic_Belt</t>
        </is>
      </c>
      <c r="D4" s="11" t="inlineStr">
        <is>
          <t>Metamorphic Belt</t>
        </is>
      </c>
      <c r="E4" s="11" t="inlineStr">
        <is>
          <t>Furongian</t>
        </is>
      </c>
      <c r="F4" s="11" t="inlineStr">
        <is>
          <t>Selandian</t>
        </is>
      </c>
      <c r="G4" s="11" t="n">
        <v>0</v>
      </c>
      <c r="H4" s="11" t="n">
        <v>1</v>
      </c>
      <c r="I4" s="11" t="inlineStr">
        <is>
          <t>POLYGON((130.0 32.0, 131.0 32.0, 131.0 32.666667, 130.0 32.666667, 130.0 32.0))</t>
        </is>
      </c>
      <c r="J4" s="11" t="inlineStr">
        <is>
          <t>POINT(130.5 32.333333499999995)</t>
        </is>
      </c>
      <c r="K4" s="11" t="inlineStr">
        <is>
          <t>GSJ 200k Tectonic Skeleton: Metamorphic Belt in 八代及び野母崎の一部 (NI-52-12)</t>
        </is>
      </c>
    </row>
    <row r="5">
      <c r="A5" s="11" t="inlineStr">
        <is>
          <t>col_4</t>
        </is>
      </c>
      <c r="B5" s="11" t="inlineStr">
        <is>
          <t>Yatsushiro-Nomozaki (Mesozoic Sedimentary Basin) Column</t>
        </is>
      </c>
      <c r="C5" s="11" t="inlineStr">
        <is>
          <t>GSJ_200K_NI_52_12_Mesozoic_Sedimentary_Basin</t>
        </is>
      </c>
      <c r="D5" s="11" t="inlineStr">
        <is>
          <t>Mesozoic Sedimentary Basin</t>
        </is>
      </c>
      <c r="E5" s="11" t="inlineStr">
        <is>
          <t>Ladinian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POLYGON((130.0 32.0, 131.0 32.0, 131.0 32.666667, 130.0 32.666667, 130.0 32.0))</t>
        </is>
      </c>
      <c r="J5" s="11" t="inlineStr">
        <is>
          <t>POINT(130.5 32.333333499999995)</t>
        </is>
      </c>
      <c r="K5" s="11" t="inlineStr">
        <is>
          <t>GSJ 200k Tectonic Skeleton: Mesozoic Sedimentary Basin in 八代及び野母崎の一部 (NI-52-12)</t>
        </is>
      </c>
    </row>
    <row r="6">
      <c r="A6" s="11" t="inlineStr">
        <is>
          <t>col_5</t>
        </is>
      </c>
      <c r="B6" s="11" t="inlineStr">
        <is>
          <t>Yatsushiro-Nomozaki (Accretionary Complex) Column</t>
        </is>
      </c>
      <c r="C6" s="11" t="inlineStr">
        <is>
          <t>GSJ_200K_NI_52_12_Accretionary_Complex</t>
        </is>
      </c>
      <c r="D6" s="11" t="inlineStr">
        <is>
          <t>Accretionary Complex</t>
        </is>
      </c>
      <c r="E6" s="11" t="inlineStr">
        <is>
          <t>Serpukhovian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POLYGON((130.0 32.0, 131.0 32.0, 131.0 32.666667, 130.0 32.666667, 130.0 32.0))</t>
        </is>
      </c>
      <c r="J6" s="11" t="inlineStr">
        <is>
          <t>POINT(130.5 32.333333499999995)</t>
        </is>
      </c>
      <c r="K6" s="11" t="inlineStr">
        <is>
          <t>GSJ 200k Tectonic Skeleton: Accretionary Complex in 八代及び野母崎の一部 (NI-52-12)</t>
        </is>
      </c>
    </row>
    <row r="7">
      <c r="A7" s="11" t="inlineStr">
        <is>
          <t>col_6</t>
        </is>
      </c>
      <c r="B7" s="11" t="inlineStr">
        <is>
          <t>Yatsushiro-Nomozaki (Plutonic Complex) Column</t>
        </is>
      </c>
      <c r="C7" s="11" t="inlineStr">
        <is>
          <t>GSJ_200K_NI_52_12_Plutonic_Complex</t>
        </is>
      </c>
      <c r="D7" s="11" t="inlineStr">
        <is>
          <t>Plutonic Complex</t>
        </is>
      </c>
      <c r="E7" s="11" t="inlineStr">
        <is>
          <t>Ordovician</t>
        </is>
      </c>
      <c r="F7" s="11" t="inlineStr">
        <is>
          <t>Serravallian</t>
        </is>
      </c>
      <c r="G7" s="11" t="n">
        <v>0</v>
      </c>
      <c r="H7" s="11" t="n">
        <v>1</v>
      </c>
      <c r="I7" s="11" t="inlineStr">
        <is>
          <t>POLYGON((130.0 32.0, 131.0 32.0, 131.0 32.666667, 130.0 32.666667, 130.0 32.0))</t>
        </is>
      </c>
      <c r="J7" s="11" t="inlineStr">
        <is>
          <t>POINT(130.5 32.333333499999995)</t>
        </is>
      </c>
      <c r="K7" s="11" t="inlineStr">
        <is>
          <t>GSJ 200k Tectonic Skeleton: Plutonic Complex in 八代及び野母崎の一部 (NI-52-12)</t>
        </is>
      </c>
    </row>
    <row r="8">
      <c r="A8" s="11" t="inlineStr">
        <is>
          <t>col_7</t>
        </is>
      </c>
      <c r="B8" s="11" t="inlineStr">
        <is>
          <t>Yatsushiro-Nomozaki (Neogene-Paleogene Volcanic Complex) Column</t>
        </is>
      </c>
      <c r="C8" s="11" t="inlineStr">
        <is>
          <t>GSJ_200K_NI_52_12_Neogene-Paleogene_Volcanic_Complex</t>
        </is>
      </c>
      <c r="D8" s="11" t="inlineStr">
        <is>
          <t>Neogene-Paleogene Volcanic Complex</t>
        </is>
      </c>
      <c r="E8" s="11" t="inlineStr">
        <is>
          <t>Ordovician</t>
        </is>
      </c>
      <c r="F8" s="11" t="inlineStr">
        <is>
          <t>Pliocene</t>
        </is>
      </c>
      <c r="G8" s="11" t="n">
        <v>0</v>
      </c>
      <c r="H8" s="11" t="n">
        <v>1</v>
      </c>
      <c r="I8" s="11" t="inlineStr">
        <is>
          <t>POLYGON((130.0 32.0, 131.0 32.0, 131.0 32.666667, 130.0 32.666667, 130.0 32.0))</t>
        </is>
      </c>
      <c r="J8" s="11" t="inlineStr">
        <is>
          <t>POINT(130.5 32.333333499999995)</t>
        </is>
      </c>
      <c r="K8" s="11" t="inlineStr">
        <is>
          <t>GSJ 200k Tectonic Skeleton: Neogene-Paleogene Volcanic Complex in 八代及び野母崎の一部 (NI-52-12)</t>
        </is>
      </c>
    </row>
    <row r="9">
      <c r="A9" s="11" t="inlineStr">
        <is>
          <t>col_8</t>
        </is>
      </c>
      <c r="B9" s="11" t="inlineStr">
        <is>
          <t>Yatsushiro-Nomozaki (Paleozoic Sedimentary Succession) Column</t>
        </is>
      </c>
      <c r="C9" s="11" t="inlineStr">
        <is>
          <t>GSJ_200K_NI_52_12_Paleozoic_Sedimentary_Succession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Devonian</t>
        </is>
      </c>
      <c r="G9" s="11" t="n">
        <v>0</v>
      </c>
      <c r="H9" s="11" t="n">
        <v>1</v>
      </c>
      <c r="I9" s="11" t="inlineStr">
        <is>
          <t>POLYGON((130.0 32.0, 131.0 32.0, 131.0 32.666667, 130.0 32.666667, 130.0 32.0))</t>
        </is>
      </c>
      <c r="J9" s="11" t="inlineStr">
        <is>
          <t>POINT(130.5 32.333333499999995)</t>
        </is>
      </c>
      <c r="K9" s="11" t="inlineStr">
        <is>
          <t>GSJ 200k Tectonic Skeleton: Paleozoic Sedimentary Succession in 八代及び野母崎の一部 (NI-52-12)</t>
        </is>
      </c>
    </row>
    <row r="10">
      <c r="A10" s="11" t="inlineStr">
        <is>
          <t>col_9</t>
        </is>
      </c>
      <c r="B10" s="11" t="inlineStr">
        <is>
          <t>Yatsushiro-Nomozaki (Neogene Sedimentary Basin) Column</t>
        </is>
      </c>
      <c r="C10" s="11" t="inlineStr">
        <is>
          <t>GSJ_200K_NI_52_12_Neogene_Sedimentary_Basin</t>
        </is>
      </c>
      <c r="D10" s="11" t="inlineStr">
        <is>
          <t>Neogene Sedimentary Basin</t>
        </is>
      </c>
      <c r="E10" s="11" t="inlineStr">
        <is>
          <t>Burdigalian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POLYGON((130.0 32.0, 131.0 32.0, 131.0 32.666667, 130.0 32.666667, 130.0 32.0))</t>
        </is>
      </c>
      <c r="J10" s="11" t="inlineStr">
        <is>
          <t>POINT(130.5 32.333333499999995)</t>
        </is>
      </c>
      <c r="K10" s="11" t="inlineStr">
        <is>
          <t>GSJ 200k Tectonic Skeleton: Neogene Sedimentary Basin in 八代及び野母崎の一部 (NI-52-12)</t>
        </is>
      </c>
    </row>
    <row r="11">
      <c r="A11" s="11" t="inlineStr">
        <is>
          <t>col_10</t>
        </is>
      </c>
      <c r="B11" s="11" t="inlineStr">
        <is>
          <t>Yatsushiro-Nomozaki (Sedimentary rocks Succession) Column</t>
        </is>
      </c>
      <c r="C11" s="11" t="inlineStr">
        <is>
          <t>GSJ_200K_NI_52_12_Sedimentary_rocks_Succession</t>
        </is>
      </c>
      <c r="D11" s="11" t="inlineStr">
        <is>
          <t>Sedimentary rocks Succession</t>
        </is>
      </c>
      <c r="E11" s="11" t="inlineStr">
        <is>
          <t>Lutetian</t>
        </is>
      </c>
      <c r="F11" s="11" t="inlineStr">
        <is>
          <t>Priabonian</t>
        </is>
      </c>
      <c r="G11" s="11" t="n">
        <v>0</v>
      </c>
      <c r="H11" s="11" t="n">
        <v>1</v>
      </c>
      <c r="I11" s="11" t="inlineStr">
        <is>
          <t>POLYGON((130.0 32.0, 131.0 32.0, 131.0 32.666667, 130.0 32.666667, 130.0 32.0))</t>
        </is>
      </c>
      <c r="J11" s="11" t="inlineStr">
        <is>
          <t>POINT(130.5 32.333333499999995)</t>
        </is>
      </c>
      <c r="K11" s="11" t="inlineStr">
        <is>
          <t>GSJ 200k Tectonic Skeleton: Sedimentary rocks Succession in 八代及び野母崎の一部 (NI-52-12)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八代及び野母崎の一部 (Yatsushiro-Nomozaki)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2010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GSJ_200K_NI_52_12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NI-52-12</t>
        </is>
      </c>
    </row>
    <row r="3">
      <c r="A3" s="11" t="inlineStr">
        <is>
          <t>name_ja</t>
        </is>
      </c>
      <c r="B3" s="11" t="inlineStr">
        <is>
          <t>八代及び野母崎の一部</t>
        </is>
      </c>
    </row>
    <row r="4">
      <c r="A4" s="11" t="inlineStr">
        <is>
          <t>name_en</t>
        </is>
      </c>
      <c r="B4" s="11" t="inlineStr">
        <is>
          <t>Yatsushiro-Nomozaki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2010</t>
        </is>
      </c>
    </row>
    <row r="7">
      <c r="A7" s="11" t="inlineStr">
        <is>
          <t>bbox</t>
        </is>
      </c>
      <c r="B7" s="11" t="inlineStr">
        <is>
          <t>[32.0, 130.0, 32.666667, 131.0]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m200k_NI-52-12_u001</t>
        </is>
      </c>
      <c r="B2" s="11" t="inlineStr">
        <is>
          <t>Holocene Sedimentary (Yatsushiro-Nomozaki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m200k_NI-52-12_u002</t>
        </is>
      </c>
      <c r="B3" s="11" t="inlineStr">
        <is>
          <t>Pleistocene Sedimentary (Yatsushiro-Nomozaki Quaternary)</t>
        </is>
      </c>
      <c r="C3" s="11" t="inlineStr">
        <is>
          <t>新生代 第四紀 更新世 ジェラシアン期〜前期チバニアン期 非海成層</t>
        </is>
      </c>
      <c r="D3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">
      <c r="A4" s="11" t="inlineStr">
        <is>
          <t>m200k_NI-52-12_u003</t>
        </is>
      </c>
      <c r="B4" s="11" t="inlineStr">
        <is>
          <t>Pleistocene Gravel (Yatsushiro-Nomozaki Quaternary)</t>
        </is>
      </c>
      <c r="C4" s="11" t="inlineStr">
        <is>
          <t>新生代 第四紀 後期更新世中期〜後期更新世後期 段丘堆積物</t>
        </is>
      </c>
      <c r="D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">
      <c r="A5" s="11" t="inlineStr">
        <is>
          <t>m200k_NI-52-12_u004</t>
        </is>
      </c>
      <c r="B5" s="11" t="inlineStr">
        <is>
          <t>Holocene Volcanic (Yatsushiro-Nomozaki Quaternary)</t>
        </is>
      </c>
      <c r="C5" s="11" t="inlineStr">
        <is>
          <t>新生代 第四紀 更新世 ジェラシアン期〜完新世 火山岩 火山麓扇状地堆積物</t>
        </is>
      </c>
      <c r="D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6">
      <c r="A6" s="11" t="inlineStr">
        <is>
          <t>m200k_NI-52-12_u005</t>
        </is>
      </c>
      <c r="B6" s="11" t="inlineStr">
        <is>
          <t>Pleistocene Volcanic (Yatsushiro-Nomozaki Quaternary)</t>
        </is>
      </c>
      <c r="C6" s="11" t="inlineStr">
        <is>
          <t>新生代 第四紀 チバニアン期 火山岩 岩屑なだれ堆積物</t>
        </is>
      </c>
      <c r="D6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7">
      <c r="A7" s="11" t="inlineStr">
        <is>
          <t>m200k_NI-52-12_u006</t>
        </is>
      </c>
      <c r="B7" s="11" t="inlineStr">
        <is>
          <t>Holocene Sedimentary (Yatsushiro-Nomozaki Quaternary)</t>
        </is>
      </c>
      <c r="C7" s="11" t="inlineStr">
        <is>
          <t>新生代 第四紀 後期完新世 盛り土・埋立地・干拓地</t>
        </is>
      </c>
      <c r="D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8">
      <c r="A8" s="11" t="inlineStr">
        <is>
          <t>m200k_NI-52-12_u007</t>
        </is>
      </c>
      <c r="B8" s="11" t="inlineStr">
        <is>
          <t>Holocene Volcanic (Yatsushiro-Nomozaki Quaternary)</t>
        </is>
      </c>
      <c r="C8" s="11" t="inlineStr">
        <is>
          <t>新生代 第四紀 完新世 火山岩 岩屑なだれ堆積物</t>
        </is>
      </c>
      <c r="D8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9">
      <c r="A9" s="11" t="inlineStr">
        <is>
          <t>m200k_NI-52-12_u008</t>
        </is>
      </c>
      <c r="B9" s="11" t="inlineStr">
        <is>
          <t>Pleistocene Volcanic (Yatsushiro-Nomozaki Quaternary)</t>
        </is>
      </c>
      <c r="C9" s="11" t="inlineStr">
        <is>
          <t>新生代 第四紀 後期更新世 火山岩 岩屑なだれ堆積物</t>
        </is>
      </c>
      <c r="D9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10">
      <c r="A10" s="11" t="inlineStr">
        <is>
          <t>m200k_NI-52-12_u009</t>
        </is>
      </c>
      <c r="B10" s="11" t="inlineStr">
        <is>
          <t>Pleistocene Sedimentary (Yatsushiro-Nomozaki Quaternary)</t>
        </is>
      </c>
      <c r="C10" s="11" t="inlineStr">
        <is>
          <t>新生代 第四紀 更新世 ジェラシアン期〜前期チバニアン期 汽水成層ないし海成・非海成混合層</t>
        </is>
      </c>
      <c r="D10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1">
      <c r="A11" s="11" t="inlineStr">
        <is>
          <t>m200k_NI-52-12_u010</t>
        </is>
      </c>
      <c r="B11" s="11" t="inlineStr">
        <is>
          <t>Holocene Sedimentary (Yatsushiro-Nomozaki Quaternary)</t>
        </is>
      </c>
      <c r="C11" s="11" t="inlineStr">
        <is>
          <t>新生代 第四紀 完新世 海岸・砂丘堆積物</t>
        </is>
      </c>
      <c r="D11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2">
      <c r="A12" s="11" t="inlineStr">
        <is>
          <t>m200k_NI-52-12_u011</t>
        </is>
      </c>
      <c r="B12" s="11" t="inlineStr">
        <is>
          <t>Holocene Sedimentary (Yatsushiro-Nomozaki Quaternary)</t>
        </is>
      </c>
      <c r="C12" s="11" t="inlineStr">
        <is>
          <t>新生代 第四紀 完新世 自然堤防堆積物</t>
        </is>
      </c>
      <c r="D12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3">
      <c r="A13" s="11" t="inlineStr">
        <is>
          <t>m200k_NI-52-12_u012</t>
        </is>
      </c>
      <c r="B13" s="11" t="inlineStr">
        <is>
          <t>Pleistocene Gravel (Yatsushiro-Nomozaki Quaternary)</t>
        </is>
      </c>
      <c r="C13" s="11" t="inlineStr">
        <is>
          <t>新生代 第四紀 後期更新世前期 段丘堆積物</t>
        </is>
      </c>
      <c r="D1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4">
      <c r="A14" s="11" t="inlineStr">
        <is>
          <t>m200k_NI-52-12_u013</t>
        </is>
      </c>
      <c r="B14" s="11" t="inlineStr">
        <is>
          <t>Pleistocene Gravel (Yatsushiro-Nomozaki Quaternary)</t>
        </is>
      </c>
      <c r="C14" s="11" t="inlineStr">
        <is>
          <t>新生代 第四紀 後期チバニアン期 段丘堆積物</t>
        </is>
      </c>
      <c r="D1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5">
      <c r="A15" s="11" t="inlineStr">
        <is>
          <t>m200k_NI-52-12_u014</t>
        </is>
      </c>
      <c r="B15" s="11" t="inlineStr">
        <is>
          <t>Pleistocene Sedimentary (Yatsushiro-Nomozaki Quaternary)</t>
        </is>
      </c>
      <c r="C15" s="11" t="inlineStr">
        <is>
          <t>新生代 第四紀 後期チバニアン期 汽水成層ないし海成・非海成混合層</t>
        </is>
      </c>
      <c r="D15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6">
      <c r="A16" s="11" t="inlineStr">
        <is>
          <t>m200k_NI-52-12_u015</t>
        </is>
      </c>
      <c r="B16" s="11" t="inlineStr">
        <is>
          <t>Holocene Sedimentary (Yatsushiro-Nomozaki Quaternary)</t>
        </is>
      </c>
      <c r="C16" s="11" t="inlineStr">
        <is>
          <t>新生代 第四紀 後期チバニアン期〜完新世 地すべり堆積物</t>
        </is>
      </c>
      <c r="D16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7">
      <c r="A17" s="11" t="inlineStr">
        <is>
          <t>m200k_NI-52-12_u016</t>
        </is>
      </c>
      <c r="B17" s="11" t="inlineStr">
        <is>
          <t>Holocene Sedimentary (Yatsushiro-Nomozaki Quaternary)</t>
        </is>
      </c>
      <c r="C17" s="11" t="inlineStr">
        <is>
          <t>新生代 第四紀 後期更新世後期〜完新世 扇状地・崖錐堆積物</t>
        </is>
      </c>
      <c r="D17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8">
      <c r="A18" s="11" t="inlineStr">
        <is>
          <t>m200k_NI-52-12_u017</t>
        </is>
      </c>
      <c r="B18" s="11" t="inlineStr">
        <is>
          <t>Pleistocene Sedimentary (Yatsushiro-Nomozaki Quaternary)</t>
        </is>
      </c>
      <c r="C18" s="11" t="inlineStr">
        <is>
          <t>新生代 第四紀 後期更新世 非海成層</t>
        </is>
      </c>
      <c r="D18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9">
      <c r="A19" s="11" t="inlineStr">
        <is>
          <t>m200k_NI-52-12_u018</t>
        </is>
      </c>
      <c r="B19" s="11" t="inlineStr">
        <is>
          <t>Calabrian Dacite (Yatsushiro-Nomozaki Quaternary)</t>
        </is>
      </c>
      <c r="C19" s="11" t="inlineStr">
        <is>
          <t>新生代 第四紀 更新世 カラブリアン期 デイサイト・流紋岩 大規模火砕流</t>
        </is>
      </c>
      <c r="D19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20">
      <c r="A20" s="11" t="inlineStr">
        <is>
          <t>m200k_NI-52-12_u019</t>
        </is>
      </c>
      <c r="B20" s="11" t="inlineStr">
        <is>
          <t>Gelasian Andesite (Yatsushiro-Nomozaki Quaternary)</t>
        </is>
      </c>
      <c r="C20" s="11" t="inlineStr">
        <is>
          <t>新生代 第四紀 更新世 ジェラシアン期 安山岩・玄武岩質安山岩 溶岩・火砕岩</t>
        </is>
      </c>
      <c r="D20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21">
      <c r="A21" s="11" t="inlineStr">
        <is>
          <t>m200k_NI-52-12_u020</t>
        </is>
      </c>
      <c r="B21" s="11" t="inlineStr">
        <is>
          <t>Calabrian Dacite (Yatsushiro-Nomozaki Quaternary)</t>
        </is>
      </c>
      <c r="C21" s="11" t="inlineStr">
        <is>
          <t>新生代 第四紀 更新世 カラブリアン期 デイサイト・流紋岩 溶岩・火砕岩</t>
        </is>
      </c>
      <c r="D21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22">
      <c r="A22" s="11" t="inlineStr">
        <is>
          <t>m200k_NI-52-12_u021</t>
        </is>
      </c>
      <c r="B22" s="11" t="inlineStr">
        <is>
          <t>Calabrian Andesite (Yatsushiro-Nomozaki Quaternary)</t>
        </is>
      </c>
      <c r="C22" s="11" t="inlineStr">
        <is>
          <t>新生代 第四紀 更新世 カラブリアン期 安山岩・玄武岩質安山岩 溶岩・火砕岩</t>
        </is>
      </c>
      <c r="D22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3">
      <c r="A23" s="11" t="inlineStr">
        <is>
          <t>m200k_NI-52-12_u022</t>
        </is>
      </c>
      <c r="B23" s="11" t="inlineStr">
        <is>
          <t>Pleistocene Dacite (Yatsushiro-Nomozaki Quaternary)</t>
        </is>
      </c>
      <c r="C23" s="11" t="inlineStr">
        <is>
          <t>新生代 第四紀 後期更新世前期 デイサイト・流紋岩 大規模火砕流</t>
        </is>
      </c>
      <c r="D23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24">
      <c r="A24" s="11" t="inlineStr">
        <is>
          <t>m200k_NI-52-12_u023</t>
        </is>
      </c>
      <c r="B24" s="11" t="inlineStr">
        <is>
          <t>Pleistocene Andesite (Yatsushiro-Nomozaki Quaternary)</t>
        </is>
      </c>
      <c r="C24" s="11" t="inlineStr">
        <is>
          <t>新生代 第四紀 チバニアン期 安山岩・玄武岩質安山岩 溶岩・火砕岩</t>
        </is>
      </c>
      <c r="D24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5">
      <c r="A25" s="11" t="inlineStr">
        <is>
          <t>m200k_NI-52-12_u024</t>
        </is>
      </c>
      <c r="B25" s="11" t="inlineStr">
        <is>
          <t>Pleistocene Dacite (Yatsushiro-Nomozaki Quaternary)</t>
        </is>
      </c>
      <c r="C25" s="11" t="inlineStr">
        <is>
          <t>新生代 第四紀 チバニアン期 デイサイト・流紋岩 溶岩・火砕岩</t>
        </is>
      </c>
      <c r="D25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26">
      <c r="A26" s="11" t="inlineStr">
        <is>
          <t>m200k_NI-52-12_u025</t>
        </is>
      </c>
      <c r="B26" s="11" t="inlineStr">
        <is>
          <t>Pleistocene Andesite (Yatsushiro-Nomozaki Quaternary)</t>
        </is>
      </c>
      <c r="C26" s="11" t="inlineStr">
        <is>
          <t>新生代 第四紀 後期更新世 安山岩・玄武岩質安山岩 溶岩・火砕岩</t>
        </is>
      </c>
      <c r="D26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7">
      <c r="A27" s="11" t="inlineStr">
        <is>
          <t>m200k_NI-52-12_u026</t>
        </is>
      </c>
      <c r="B27" s="11" t="inlineStr">
        <is>
          <t>Holocene Andesite (Yatsushiro-Nomozaki Quaternary)</t>
        </is>
      </c>
      <c r="C27" s="11" t="inlineStr">
        <is>
          <t>新生代 第四紀 完新世 安山岩・玄武岩質安山岩 溶岩・火砕岩</t>
        </is>
      </c>
      <c r="D27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28">
      <c r="A28" s="11" t="inlineStr">
        <is>
          <t>m200k_NI-52-12_u027</t>
        </is>
      </c>
      <c r="B28" s="11" t="inlineStr">
        <is>
          <t>Pleistocene Dacite (Yatsushiro-Nomozaki Quaternary)</t>
        </is>
      </c>
      <c r="C28" s="11" t="inlineStr">
        <is>
          <t>新生代 第四紀 チバニアン期 デイサイト・流紋岩 大規模火砕流</t>
        </is>
      </c>
      <c r="D28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9">
      <c r="A29" s="11" t="inlineStr">
        <is>
          <t>m200k_NI-52-12_u028</t>
        </is>
      </c>
      <c r="B29" s="11" t="inlineStr">
        <is>
          <t>Pleistocene Dacite (Yatsushiro-Nomozaki Quaternary)</t>
        </is>
      </c>
      <c r="C29" s="11" t="inlineStr">
        <is>
          <t>新生代 第四紀 後期更新世中期 デイサイト・流紋岩 大規模火砕流</t>
        </is>
      </c>
      <c r="D29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30">
      <c r="A30" s="11" t="inlineStr">
        <is>
          <t>m200k_NI-52-12_u029</t>
        </is>
      </c>
      <c r="B30" s="11" t="inlineStr">
        <is>
          <t>Pleistocene Andesite (Yatsushiro-Nomozaki Quaternary)</t>
        </is>
      </c>
      <c r="C30" s="11" t="inlineStr">
        <is>
          <t>新生代 第四紀 後期更新世前期 安山岩・玄武岩質安山岩 大規模火砕流</t>
        </is>
      </c>
      <c r="D30" s="11" t="inlineStr">
        <is>
          <t>新生代 第四紀 後期更新世前期（Cenozoic Quaternary early Late Pleistocene）に形成された安山岩・玄武岩質安山岩 大規模火砕流（andesite &amp; basaltic andesite pyroclastic rocks）。産総研シームレス地質図V2凡例記号: Q31_vis_ap</t>
        </is>
      </c>
    </row>
    <row r="31">
      <c r="A31" s="11" t="inlineStr">
        <is>
          <t>m200k_NI-52-12_u030</t>
        </is>
      </c>
      <c r="B31" s="11" t="inlineStr">
        <is>
          <t>Pleistocene Andesite (Yatsushiro-Nomozaki Quaternary)</t>
        </is>
      </c>
      <c r="C31" s="11" t="inlineStr">
        <is>
          <t>新生代 第四紀 チバニアン期 安山岩・玄武岩質安山岩 大規模火砕流</t>
        </is>
      </c>
      <c r="D31" s="11" t="inlineStr">
        <is>
          <t>新生代 第四紀 チバニアン期（Cenozoic Quaternary Middle Pleistocene）に形成された安山岩・玄武岩質安山岩 大規模火砕流（andesite &amp; basaltic andesite pyroclastic rocks）。産総研シームレス地質図V2凡例記号: Q2_vis_ap</t>
        </is>
      </c>
    </row>
    <row r="32">
      <c r="A32" s="11" t="inlineStr">
        <is>
          <t>m200k_NI-52-12_u031</t>
        </is>
      </c>
      <c r="B32" s="11" t="inlineStr">
        <is>
          <t>Pleistocene Dacite (Yatsushiro-Nomozaki Quaternary)</t>
        </is>
      </c>
      <c r="C32" s="11" t="inlineStr">
        <is>
          <t>新生代 第四紀 後期更新世 デイサイト・流紋岩 溶岩・火砕岩</t>
        </is>
      </c>
      <c r="D32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33">
      <c r="A33" s="11" t="inlineStr">
        <is>
          <t>m200k_NI-52-12_u032</t>
        </is>
      </c>
      <c r="B33" s="11" t="inlineStr">
        <is>
          <t>Holocene Dacite (Yatsushiro-Nomozaki Quaternary)</t>
        </is>
      </c>
      <c r="C33" s="11" t="inlineStr">
        <is>
          <t>新生代 第四紀 完新世 デイサイト・流紋岩 溶岩・火砕岩</t>
        </is>
      </c>
      <c r="D33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34">
      <c r="A34" s="11" t="inlineStr">
        <is>
          <t>m200k_NI-52-12_u033</t>
        </is>
      </c>
      <c r="B34" s="11" t="inlineStr">
        <is>
          <t>Holocene Basalt (Yatsushiro-Nomozaki Quaternary)</t>
        </is>
      </c>
      <c r="C34" s="11" t="inlineStr">
        <is>
          <t>新生代 第四紀 完新世 玄武岩 溶岩・火砕岩</t>
        </is>
      </c>
      <c r="D34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35">
      <c r="A35" s="11" t="inlineStr">
        <is>
          <t>m200k_NI-52-12_u034</t>
        </is>
      </c>
      <c r="B35" s="11" t="inlineStr">
        <is>
          <t>Pleistocene Basalt (Yatsushiro-Nomozaki Quaternary)</t>
        </is>
      </c>
      <c r="C35" s="11" t="inlineStr">
        <is>
          <t>新生代 第四紀 後期更新世 玄武岩 溶岩・火砕岩</t>
        </is>
      </c>
      <c r="D35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36">
      <c r="A36" s="11" t="inlineStr">
        <is>
          <t>m200k_NI-52-12_u035</t>
        </is>
      </c>
      <c r="B36" s="11" t="inlineStr">
        <is>
          <t>Selandian Schist (Yatsushiro-Nomozaki Metamorphic)</t>
        </is>
      </c>
      <c r="C36" s="11" t="inlineStr">
        <is>
          <t>中生代 前期白亜紀 アルビアン期〜新生代 古第三紀 暁新世 セランディアン期 泥質片岩 高P/T型広域変成岩　緑泥石帯</t>
        </is>
      </c>
      <c r="D36" s="11" t="inlineStr">
        <is>
          <t>中生代 前期白亜紀 アルビアン期〜新生代 古第三紀 暁新世 セランディアン期（Mesozoic Early Cretaceous Albian - Cenozoic Paleogene Paleocene Selandian）に形成された泥質片岩 高P/T型広域変成岩　緑泥石帯（pelitic schist chlorite zone of high P/T regional metamorphic rocks）。産総研シームレス地質図V2凡例記号: K122-Pg12_mscpe_hc</t>
        </is>
      </c>
    </row>
    <row r="37">
      <c r="A37" s="11" t="inlineStr">
        <is>
          <t>m200k_NI-52-12_u036</t>
        </is>
      </c>
      <c r="B37" s="11" t="inlineStr">
        <is>
          <t>Selandian Schist (Yatsushiro-Nomozaki Metamorphic)</t>
        </is>
      </c>
      <c r="C37" s="11" t="inlineStr">
        <is>
          <t>中生代 前期白亜紀 アルビアン期〜新生代 古第三紀 暁新世 セランディアン期 石灰質片岩 高P/T型広域変成岩　緑泥石帯</t>
        </is>
      </c>
      <c r="D37" s="11" t="inlineStr">
        <is>
          <t>中生代 前期白亜紀 アルビアン期〜新生代 古第三紀 暁新世 セランディアン期（Mesozoic Early Cretaceous Albian - Cenozoic Paleogene Paleocene Selandian）に形成された石灰質片岩 高P/T型広域変成岩　緑泥石帯（calcareous schist chlorite zone of high P/T regional metamorphic rocks）。産総研シームレス地質図V2凡例記号: K122-Pg12_mscca_hc</t>
        </is>
      </c>
    </row>
    <row r="38">
      <c r="A38" s="11" t="inlineStr">
        <is>
          <t>m200k_NI-52-12_u037</t>
        </is>
      </c>
      <c r="B38" s="11" t="inlineStr">
        <is>
          <t>Selandian Mafic (Yatsushiro-Nomozaki Metamorphic)</t>
        </is>
      </c>
      <c r="C38" s="11" t="inlineStr">
        <is>
          <t>中生代 前期白亜紀 アルビアン期〜新生代 古第三紀 暁新世 セランディアン期 苦鉄質片岩 高P/T型広域変成岩　緑泥石帯</t>
        </is>
      </c>
      <c r="D38" s="11" t="inlineStr">
        <is>
          <t>中生代 前期白亜紀 アルビアン期〜新生代 古第三紀 暁新世 セランディアン期（Mesozoic Early Cretaceous Albian - Cenozoic Paleogene Paleocene Selandian）に形成された苦鉄質片岩 高P/T型広域変成岩　緑泥石帯（mafic schist chlorite zone of high P/T regional metamorphic rocks）。産総研シームレス地質図V2凡例記号: K122-Pg12_mscma_hc</t>
        </is>
      </c>
    </row>
    <row r="39">
      <c r="A39" s="11" t="inlineStr">
        <is>
          <t>m200k_NI-52-12_u038</t>
        </is>
      </c>
      <c r="B39" s="11" t="inlineStr">
        <is>
          <t>Selandian Schist (Yatsushiro-Nomozaki Metamorphic)</t>
        </is>
      </c>
      <c r="C39" s="11" t="inlineStr">
        <is>
          <t>中生代 前期白亜紀 アルビアン期〜新生代 古第三紀 暁新世 セランディアン期 砂質片岩 高P/T型広域変成岩　緑泥石帯</t>
        </is>
      </c>
      <c r="D39" s="11" t="inlineStr">
        <is>
          <t>中生代 前期白亜紀 アルビアン期〜新生代 古第三紀 暁新世 セランディアン期（Mesozoic Early Cretaceous Albian - Cenozoic Paleogene Paleocene Selandian）に形成された砂質片岩 高P/T型広域変成岩　緑泥石帯（psammitic schist chlorite zone of high P/T regional metamorphic rocks）。産総研シームレス地質図V2凡例記号: K122-Pg12_mscps_hc</t>
        </is>
      </c>
    </row>
    <row r="40">
      <c r="A40" s="11" t="inlineStr">
        <is>
          <t>m200k_NI-52-12_u039</t>
        </is>
      </c>
      <c r="B40" s="11" t="inlineStr">
        <is>
          <t>Selandian Serpentinite (Yatsushiro-Nomozaki Metamorphic)</t>
        </is>
      </c>
      <c r="C40" s="11" t="inlineStr">
        <is>
          <t>中生代 前期白亜紀 アルビアン期〜新生代 古第三紀 暁新世 セランディアン期 蛇紋岩  高P/T型広域変成岩　緑泥石帯</t>
        </is>
      </c>
      <c r="D40" s="11" t="inlineStr">
        <is>
          <t>中生代 前期白亜紀 アルビアン期〜新生代 古第三紀 暁新世 セランディアン期（Mesozoic Early Cretaceous Albian - Cenozoic Paleogene Paleocene Selandian）に形成された蛇紋岩  高P/T型広域変成岩　緑泥石帯（serpentinite chlorite zone of high P/T regional metamorphic rocks）。産総研シームレス地質図V2凡例記号: K122-Pg12_msp_hc</t>
        </is>
      </c>
    </row>
    <row r="41">
      <c r="A41" s="11" t="inlineStr">
        <is>
          <t>m200k_NI-52-12_u040</t>
        </is>
      </c>
      <c r="B41" s="11" t="inlineStr">
        <is>
          <t>Selandian Schist (Yatsushiro-Nomozaki Metamorphic)</t>
        </is>
      </c>
      <c r="C41" s="11" t="inlineStr">
        <is>
          <t>中生代 前期白亜紀 アルビアン期〜新生代 古第三紀 暁新世 セランディアン期 珪質片岩 高P/T型広域変成岩　緑泥石帯</t>
        </is>
      </c>
      <c r="D41" s="11" t="inlineStr">
        <is>
          <t>中生代 前期白亜紀 アルビアン期〜新生代 古第三紀 暁新世 セランディアン期（Mesozoic Early Cretaceous Albian - Cenozoic Paleogene Paleocene Selandian）に形成された珪質片岩 高P/T型広域変成岩　緑泥石帯（siliceous schist chlorite zone of high P/T regional metamorphic rocks）。産総研シームレス地質図V2凡例記号: K122-Pg12_mscsi_hc</t>
        </is>
      </c>
    </row>
    <row r="42">
      <c r="A42" s="11" t="inlineStr">
        <is>
          <t>m200k_NI-52-12_u041</t>
        </is>
      </c>
      <c r="B42" s="11" t="inlineStr">
        <is>
          <t>Selandian Schist (Yatsushiro-Nomozaki Metamorphic)</t>
        </is>
      </c>
      <c r="C42" s="11" t="inlineStr">
        <is>
          <t>中生代 後期白亜紀〜新生代 古第三紀 暁新世 セランディアン期 泥質片岩 低P/T型広域変成岩　黒雲母帯</t>
        </is>
      </c>
      <c r="D42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43">
      <c r="A43" s="11" t="inlineStr">
        <is>
          <t>m200k_NI-52-12_u042</t>
        </is>
      </c>
      <c r="B43" s="11" t="inlineStr">
        <is>
          <t>Selandian Mafic (Yatsushiro-Nomozaki Metamorphic)</t>
        </is>
      </c>
      <c r="C43" s="11" t="inlineStr">
        <is>
          <t>中生代 後期白亜紀〜新生代 古第三紀 暁新世 セランディアン期 苦鉄質片岩 低P/T型広域変成岩　黒雲母帯</t>
        </is>
      </c>
      <c r="D43" s="11" t="inlineStr">
        <is>
          <t>中生代 後期白亜紀〜新生代 古第三紀 暁新世 セランディアン期（Mesozoic Late Cretaceous - Cenozoic Paleogene Paleocene Selandian）に形成された苦鉄質片岩 低P/T型広域変成岩　黒雲母帯（mafic schist biotite zone of low P/T regional metamorphic rocks）。産総研シームレス地質図V2凡例記号: K2-Pg12_mscma_lb</t>
        </is>
      </c>
    </row>
    <row r="44">
      <c r="A44" s="11" t="inlineStr">
        <is>
          <t>m200k_NI-52-12_u043</t>
        </is>
      </c>
      <c r="B44" s="11" t="inlineStr">
        <is>
          <t>Oxfordian Mafic (Yatsushiro-Nomozaki Metamorphic)</t>
        </is>
      </c>
      <c r="C44" s="11" t="inlineStr">
        <is>
          <t>中生代 後期三畳紀 ラディニアン期〜後期ジュラ紀 オックスフォーディアン期 苦鉄質片岩 高P/T型広域変成岩　緑泥石帯</t>
        </is>
      </c>
      <c r="D44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45">
      <c r="A45" s="11" t="inlineStr">
        <is>
          <t>m200k_NI-52-12_u044</t>
        </is>
      </c>
      <c r="B45" s="11" t="inlineStr">
        <is>
          <t>Selandian Schist (Yatsushiro-Nomozaki Metamorphic)</t>
        </is>
      </c>
      <c r="C45" s="11" t="inlineStr">
        <is>
          <t>中生代 後期白亜紀〜新生代 古第三紀 暁新世 セランディアン期 泥質片岩・泥質グラノフェルス・泥質片麻岩 低P/T型広域変成岩　カリ長石菫青石帯</t>
        </is>
      </c>
      <c r="D45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 低P/T型広域変成岩　カリ長石菫青石帯（pelitic schist, granofels &amp; gneiss Kfeldspar-cordierite zone of low P/T regional metamorphic rocks）。産総研シームレス地質図V2凡例記号: K2-Pg12_msnpe_lkc</t>
        </is>
      </c>
    </row>
    <row r="46">
      <c r="A46" s="11" t="inlineStr">
        <is>
          <t>m200k_NI-52-12_u045</t>
        </is>
      </c>
      <c r="B46" s="11" t="inlineStr">
        <is>
          <t>Permian Tonalite (Yatsushiro-Nomozaki Metamorphic)</t>
        </is>
      </c>
      <c r="C46" s="11" t="inlineStr">
        <is>
          <t>古生代 ペルム紀 花崗閃緑岩・トーナル岩 片麻状 島弧・大陸</t>
        </is>
      </c>
      <c r="D46" s="11" t="inlineStr">
        <is>
          <t>古生代 ペルム紀（Paleozoic Permian）に形成された花崗閃緑岩・トーナル岩 片麻状 島弧・大陸（gneissose granodiolite &amp; tonalite island arc &amp; continental）。産総研シームレス地質図V2凡例記号: P_pin_a</t>
        </is>
      </c>
    </row>
    <row r="47">
      <c r="A47" s="11" t="inlineStr">
        <is>
          <t>m200k_NI-52-12_u046</t>
        </is>
      </c>
      <c r="B47" s="11" t="inlineStr">
        <is>
          <t>Selandian Mafic (Yatsushiro-Nomozaki Metamorphic)</t>
        </is>
      </c>
      <c r="C47" s="11" t="inlineStr">
        <is>
          <t>中生代 後期白亜紀〜新生代 古第三紀 暁新世 セランディアン期 苦鉄質片岩・苦鉄質グラノフェルス・角閃岩 低P/T型広域変成岩　カリ長石菫青石帯</t>
        </is>
      </c>
      <c r="D47" s="11" t="inlineStr">
        <is>
          <t>中生代 後期白亜紀〜新生代 古第三紀 暁新世 セランディアン期（Mesozoic Late Cretaceous - Cenozoic Paleogene Paleocene Selandian）に形成された苦鉄質片岩・苦鉄質グラノフェルス・角閃岩 低P/T型広域変成岩　カリ長石菫青石帯（mafic schist and granofels &amp; amphibolite Kfeldspar-cordierite zone of low P/T regional metamorphic rocks）。産総研シームレス地質図V2凡例記号: K2-Pg12_msama_lkc</t>
        </is>
      </c>
    </row>
    <row r="48">
      <c r="A48" s="11" t="inlineStr">
        <is>
          <t>m200k_NI-52-12_u047</t>
        </is>
      </c>
      <c r="B48" s="11" t="inlineStr">
        <is>
          <t>Oxfordian Schist (Yatsushiro-Nomozaki Metamorphic)</t>
        </is>
      </c>
      <c r="C48" s="11" t="inlineStr">
        <is>
          <t>中生代 後期三畳紀 ラディニアン期〜後期ジュラ紀 オックスフォーディアン期 泥質片岩 高P/T型広域変成岩　緑泥石帯</t>
        </is>
      </c>
      <c r="D48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49">
      <c r="A49" s="11" t="inlineStr">
        <is>
          <t>m200k_NI-52-12_u048</t>
        </is>
      </c>
      <c r="B49" s="11" t="inlineStr">
        <is>
          <t>Selandian Schist (Yatsushiro-Nomozaki Metamorphic)</t>
        </is>
      </c>
      <c r="C49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49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50">
      <c r="A50" s="11" t="inlineStr">
        <is>
          <t>m200k_NI-52-12_u049</t>
        </is>
      </c>
      <c r="B50" s="11" t="inlineStr">
        <is>
          <t>Selandian Metamorphic (Yatsushiro-Nomozaki Metamorphic)</t>
        </is>
      </c>
      <c r="C50" s="11" t="inlineStr">
        <is>
          <t>中生代 後期白亜紀〜新生代 古第三紀 暁新世 セランディアン期 変成チャート 低P/T型広域変成岩　黒雲母帯</t>
        </is>
      </c>
      <c r="D50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51">
      <c r="A51" s="11" t="inlineStr">
        <is>
          <t>m200k_NI-52-12_u050</t>
        </is>
      </c>
      <c r="B51" s="11" t="inlineStr">
        <is>
          <t>Albian Mafic (Yatsushiro-Nomozaki Metamorphic)</t>
        </is>
      </c>
      <c r="C51" s="11" t="inlineStr">
        <is>
          <t>中生代 前期白亜紀 アプチアン期〜アルビアン期 苦鉄質片麻岩・角閃岩 低P/T型広域変成岩　ざくろ石菫青石帯</t>
        </is>
      </c>
      <c r="D51" s="11" t="inlineStr">
        <is>
          <t>中生代 前期白亜紀 アプチアン期〜アルビアン期（Mesozoic Early Cretaceous Aptian - Albian）に形成された苦鉄質片麻岩・角閃岩 低P/T型広域変成岩　ざくろ石菫青石帯（mafic gneiss &amp; amphibolite garnet-cordierite zone of low P/T regional metamorphic rocks）。産総研シームレス地質図V2凡例記号: K12_mgama_lgc</t>
        </is>
      </c>
    </row>
    <row r="52">
      <c r="A52" s="11" t="inlineStr">
        <is>
          <t>m200k_NI-52-12_u051</t>
        </is>
      </c>
      <c r="B52" s="11" t="inlineStr">
        <is>
          <t>Selandian Marble (Yatsushiro-Nomozaki Metamorphic)</t>
        </is>
      </c>
      <c r="C52" s="11" t="inlineStr">
        <is>
          <t>中生代 後期白亜紀〜新生代 古第三紀 暁新世 セランディアン期 大理石 低P/T型広域変成岩　黒雲母帯</t>
        </is>
      </c>
      <c r="D52" s="11" t="inlineStr">
        <is>
          <t>中生代 後期白亜紀〜新生代 古第三紀 暁新世 セランディアン期（Mesozoic Late Cretaceous - Cenozoic Paleogene Paleocene Selandian）に形成された大理石 低P/T型広域変成岩　黒雲母帯（marble biotite zone of low P/T regional metamorphic rocks）。産総研シームレス地質図V2凡例記号: K2-Pg12_mrls_lb</t>
        </is>
      </c>
    </row>
    <row r="53">
      <c r="A53" s="11" t="inlineStr">
        <is>
          <t>m200k_NI-52-12_u052</t>
        </is>
      </c>
      <c r="B53" s="11" t="inlineStr">
        <is>
          <t>Silurian Mafic (Yatsushiro-Nomozaki Metamorphic)</t>
        </is>
      </c>
      <c r="C53" s="11" t="inlineStr">
        <is>
          <t>古生代 カンブリア紀 フロンギアン世〜シルル紀 苦鉄質片麻岩・角閃岩 中P/T型広域変成岩　角閃岩相・グラニュライト相</t>
        </is>
      </c>
      <c r="D53" s="11" t="inlineStr">
        <is>
          <t>古生代 カンブリア紀 フロンギアン世〜シルル紀（Paleozoic Cambrian Furongian - Silurian）に形成された苦鉄質片麻岩・角閃岩 中P/T型広域変成岩　角閃岩相・グラニュライト相（mafic gneiss &amp; amphibolite amphibolite or granulite facies rocks of medium P/T regional metamorphic rocks）。産総研シームレス地質図V2凡例記号: Ca4-S_mgama_mag</t>
        </is>
      </c>
    </row>
    <row r="54">
      <c r="A54" s="11" t="inlineStr">
        <is>
          <t>m200k_NI-52-12_u053</t>
        </is>
      </c>
      <c r="B54" s="11" t="inlineStr">
        <is>
          <t>Silurian Gneiss (Yatsushiro-Nomozaki Metamorphic)</t>
        </is>
      </c>
      <c r="C54" s="11" t="inlineStr">
        <is>
          <t>古生代 カンブリア紀 フロンギアン世〜シルル紀 泥質片麻岩・泥質ミグマタイト 中P/T型広域変成岩　角閃岩相・グラニュライト相</t>
        </is>
      </c>
      <c r="D54" s="11" t="inlineStr">
        <is>
          <t>古生代 カンブリア紀 フロンギアン世〜シルル紀（Paleozoic Cambrian Furongian - Silurian）に形成された泥質片麻岩・泥質ミグマタイト 中P/T型広域変成岩　角閃岩相・グラニュライト相（pelitic gneiss &amp; migmatite amphibolite or granulite facies rocks of medium P/T regional metamorphic rocks）。産総研シームレス地質図V2凡例記号: Ca4-S_mgmpe_mag</t>
        </is>
      </c>
    </row>
    <row r="55">
      <c r="A55" s="11" t="inlineStr">
        <is>
          <t>m200k_NI-52-12_u054</t>
        </is>
      </c>
      <c r="B55" s="11" t="inlineStr">
        <is>
          <t>Santonian Conglomerate (Yatsushiro-Nomozaki Mesozoic)</t>
        </is>
      </c>
      <c r="C55" s="11" t="inlineStr">
        <is>
          <t>中生代 後期白亜紀 セノマニアン期〜サントニアン期 海成層 礫岩</t>
        </is>
      </c>
      <c r="D55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56">
      <c r="A56" s="11" t="inlineStr">
        <is>
          <t>m200k_NI-52-12_u055</t>
        </is>
      </c>
      <c r="B56" s="11" t="inlineStr">
        <is>
          <t>Santonian Sandstone (Yatsushiro-Nomozaki Mesozoic)</t>
        </is>
      </c>
      <c r="C56" s="11" t="inlineStr">
        <is>
          <t>中生代 後期白亜紀 セノマニアン期〜サントニアン期 海成層 砂岩</t>
        </is>
      </c>
      <c r="D56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7">
      <c r="A57" s="11" t="inlineStr">
        <is>
          <t>m200k_NI-52-12_u056</t>
        </is>
      </c>
      <c r="B57" s="11" t="inlineStr">
        <is>
          <t>Albian Sandstone (Yatsushiro-Nomozaki Mesozoic)</t>
        </is>
      </c>
      <c r="C57" s="11" t="inlineStr">
        <is>
          <t>中生代 前期白亜紀 アプチアン期〜アルビアン期 海成層 砂岩泥岩互層</t>
        </is>
      </c>
      <c r="D57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58">
      <c r="A58" s="11" t="inlineStr">
        <is>
          <t>m200k_NI-52-12_u057</t>
        </is>
      </c>
      <c r="B58" s="11" t="inlineStr">
        <is>
          <t>Barremian Conglomerate (Yatsushiro-Nomozaki Mesozoic)</t>
        </is>
      </c>
      <c r="C58" s="11" t="inlineStr">
        <is>
          <t>中生代 前期白亜紀 ベリアシアン期〜バレミアン期 汽水成層ないし海成・非海成混合層 礫岩</t>
        </is>
      </c>
      <c r="D58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59">
      <c r="A59" s="11" t="inlineStr">
        <is>
          <t>m200k_NI-52-12_u058</t>
        </is>
      </c>
      <c r="B59" s="11" t="inlineStr">
        <is>
          <t>Barremian Conglomerate (Yatsushiro-Nomozaki Mesozoic)</t>
        </is>
      </c>
      <c r="C59" s="11" t="inlineStr">
        <is>
          <t>中生代 前期白亜紀 ベリアシアン期〜バレミアン期 海成層 礫岩</t>
        </is>
      </c>
      <c r="D59" s="11" t="inlineStr">
        <is>
          <t>中生代 前期白亜紀 ベリアシアン期〜バレミアン期（Mesozoic Early Cretaceous Berriasian - Barremian）に形成された海成層 礫岩（marine conglomerate）。産総研シームレス地質図V2凡例記号: K11_soc</t>
        </is>
      </c>
    </row>
    <row r="60">
      <c r="A60" s="11" t="inlineStr">
        <is>
          <t>m200k_NI-52-12_u059</t>
        </is>
      </c>
      <c r="B60" s="11" t="inlineStr">
        <is>
          <t>Jurassic Conglomerate (Yatsushiro-Nomozaki Mesozoic)</t>
        </is>
      </c>
      <c r="C60" s="11" t="inlineStr">
        <is>
          <t>中生代 後期ジュラ紀 海成層 礫岩</t>
        </is>
      </c>
      <c r="D60" s="11" t="inlineStr">
        <is>
          <t>中生代 後期ジュラ紀（Mesozoic Late Jurassic）に形成された海成層 礫岩（marine conglomerate）。産総研シームレス地質図V2凡例記号: J3_soc</t>
        </is>
      </c>
    </row>
    <row r="61">
      <c r="A61" s="11" t="inlineStr">
        <is>
          <t>m200k_NI-52-12_u060</t>
        </is>
      </c>
      <c r="B61" s="11" t="inlineStr">
        <is>
          <t>Albian Tonalite (Yatsushiro-Nomozaki Mesozoic)</t>
        </is>
      </c>
      <c r="C61" s="11" t="inlineStr">
        <is>
          <t>中生代 前期白亜紀 アプチアン期〜アルビアン期 花崗閃緑岩・トーナル岩 塊状 島弧・大陸</t>
        </is>
      </c>
      <c r="D61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62">
      <c r="A62" s="11" t="inlineStr">
        <is>
          <t>m200k_NI-52-12_u061</t>
        </is>
      </c>
      <c r="B62" s="11" t="inlineStr">
        <is>
          <t>Santonian Sandstone (Yatsushiro-Nomozaki Mesozoic)</t>
        </is>
      </c>
      <c r="C62" s="11" t="inlineStr">
        <is>
          <t>中生代 後期白亜紀 セノマニアン期〜サントニアン期 海成層 砂岩泥岩互層</t>
        </is>
      </c>
      <c r="D62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63">
      <c r="A63" s="11" t="inlineStr">
        <is>
          <t>m200k_NI-52-12_u062</t>
        </is>
      </c>
      <c r="B63" s="11" t="inlineStr">
        <is>
          <t>Jurassic Sandstone (Yatsushiro-Nomozaki Mesozoic)</t>
        </is>
      </c>
      <c r="C63" s="11" t="inlineStr">
        <is>
          <t>中生代 後期ジュラ紀 海成層 砂岩泥岩互層</t>
        </is>
      </c>
      <c r="D63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64">
      <c r="A64" s="11" t="inlineStr">
        <is>
          <t>m200k_NI-52-12_u063</t>
        </is>
      </c>
      <c r="B64" s="11" t="inlineStr">
        <is>
          <t>Jurassic Limestone (Yatsushiro-Nomozaki Mesozoic)</t>
        </is>
      </c>
      <c r="C64" s="11" t="inlineStr">
        <is>
          <t>中生代 後期ジュラ紀 海成層 石灰岩</t>
        </is>
      </c>
      <c r="D64" s="11" t="inlineStr">
        <is>
          <t>中生代 後期ジュラ紀（Mesozoic Late Jurassic）に形成された海成層 石灰岩（marine limestone）。産総研シームレス地質図V2凡例記号: J3_sol</t>
        </is>
      </c>
    </row>
    <row r="65">
      <c r="A65" s="11" t="inlineStr">
        <is>
          <t>m200k_NI-52-12_u064</t>
        </is>
      </c>
      <c r="B65" s="11" t="inlineStr">
        <is>
          <t>Albian Mudstone (Yatsushiro-Nomozaki Mesozoic)</t>
        </is>
      </c>
      <c r="C65" s="11" t="inlineStr">
        <is>
          <t>中生代 前期白亜紀 アプチアン期〜アルビアン期 海成層 泥岩</t>
        </is>
      </c>
      <c r="D65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66">
      <c r="A66" s="11" t="inlineStr">
        <is>
          <t>m200k_NI-52-12_u065</t>
        </is>
      </c>
      <c r="B66" s="11" t="inlineStr">
        <is>
          <t>Triassic Sandstone (Yatsushiro-Nomozaki Mesozoic)</t>
        </is>
      </c>
      <c r="C66" s="11" t="inlineStr">
        <is>
          <t>中生代 後期三畳紀 ラディニアン期〜後期三畳紀 海成層 砂岩</t>
        </is>
      </c>
      <c r="D66" s="11" t="inlineStr">
        <is>
          <t>中生代 後期三畳紀 ラディニアン期〜後期三畳紀（Mesozoic Late Triassic Ladinian - Late Triassic）に形成された海成層 砂岩（marine sandstone）。産総研シームレス地質図V2凡例記号: Tr22-3_soss</t>
        </is>
      </c>
    </row>
    <row r="67">
      <c r="A67" s="11" t="inlineStr">
        <is>
          <t>m200k_NI-52-12_u066</t>
        </is>
      </c>
      <c r="B67" s="11" t="inlineStr">
        <is>
          <t>Jurassic Mudstone (Yatsushiro-Nomozaki Mesozoic)</t>
        </is>
      </c>
      <c r="C67" s="11" t="inlineStr">
        <is>
          <t>中生代 後期ジュラ紀 海成層 泥岩</t>
        </is>
      </c>
      <c r="D67" s="11" t="inlineStr">
        <is>
          <t>中生代 後期ジュラ紀（Mesozoic Late Jurassic）に形成された海成層 泥岩（marine mudstone）。産総研シームレス地質図V2凡例記号: J3_som</t>
        </is>
      </c>
    </row>
    <row r="68">
      <c r="A68" s="11" t="inlineStr">
        <is>
          <t>m200k_NI-52-12_u067</t>
        </is>
      </c>
      <c r="B68" s="11" t="inlineStr">
        <is>
          <t>Barremian Mudstone (Yatsushiro-Nomozaki Mesozoic)</t>
        </is>
      </c>
      <c r="C68" s="11" t="inlineStr">
        <is>
          <t>中生代 前期白亜紀 ベリアシアン期〜バレミアン期 海成層 泥岩</t>
        </is>
      </c>
      <c r="D68" s="11" t="inlineStr">
        <is>
          <t>中生代 前期白亜紀 ベリアシアン期〜バレミアン期（Mesozoic Early Cretaceous Berriasian - Barremian）に形成された海成層 泥岩（marine mudstone）。産総研シームレス地質図V2凡例記号: K11_som</t>
        </is>
      </c>
    </row>
    <row r="69">
      <c r="A69" s="11" t="inlineStr">
        <is>
          <t>m200k_NI-52-12_u068</t>
        </is>
      </c>
      <c r="B69" s="11" t="inlineStr">
        <is>
          <t>Albian Conglomerate (Yatsushiro-Nomozaki Mesozoic)</t>
        </is>
      </c>
      <c r="C69" s="11" t="inlineStr">
        <is>
          <t>中生代 前期白亜紀 アプチアン期〜アルビアン期 海成層 礫岩</t>
        </is>
      </c>
      <c r="D69" s="11" t="inlineStr">
        <is>
          <t>中生代 前期白亜紀 アプチアン期〜アルビアン期（Mesozoic Early Cretaceous Aptian - Albian）に形成された海成層 礫岩（marine conglomerate）。産総研シームレス地質図V2凡例記号: K12_soc</t>
        </is>
      </c>
    </row>
    <row r="70">
      <c r="A70" s="11" t="inlineStr">
        <is>
          <t>m200k_NI-52-12_u069</t>
        </is>
      </c>
      <c r="B70" s="11" t="inlineStr">
        <is>
          <t>Albian Sandstone (Yatsushiro-Nomozaki Mesozoic)</t>
        </is>
      </c>
      <c r="C70" s="11" t="inlineStr">
        <is>
          <t>中生代 前期白亜紀 アプチアン期〜アルビアン期 海成層 砂岩</t>
        </is>
      </c>
      <c r="D70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71">
      <c r="A71" s="11" t="inlineStr">
        <is>
          <t>m200k_NI-52-12_u070</t>
        </is>
      </c>
      <c r="B71" s="11" t="inlineStr">
        <is>
          <t>Triassic Sandstone (Yatsushiro-Nomozaki Mesozoic)</t>
        </is>
      </c>
      <c r="C71" s="11" t="inlineStr">
        <is>
          <t>中生代 後期三畳紀 ラディニアン期〜後期三畳紀 海成層 砂岩泥岩互層</t>
        </is>
      </c>
      <c r="D71" s="11" t="inlineStr">
        <is>
          <t>中生代 後期三畳紀 ラディニアン期〜後期三畳紀（Mesozoic Late Triassic Ladinian - Late Triassic）に形成された海成層 砂岩泥岩互層（marine alternation of sandstone &amp; mudstone）。産総研シームレス地質図V2凡例記号: Tr22-3_sosma</t>
        </is>
      </c>
    </row>
    <row r="72">
      <c r="A72" s="11" t="inlineStr">
        <is>
          <t>m200k_NI-52-12_u071</t>
        </is>
      </c>
      <c r="B72" s="11" t="inlineStr">
        <is>
          <t>Triassic Mudstone (Yatsushiro-Nomozaki Mesozoic)</t>
        </is>
      </c>
      <c r="C72" s="11" t="inlineStr">
        <is>
          <t>中生代 後期三畳紀 ラディニアン期〜後期三畳紀 海成層 泥岩</t>
        </is>
      </c>
      <c r="D72" s="11" t="inlineStr">
        <is>
          <t>中生代 後期三畳紀 ラディニアン期〜後期三畳紀（Mesozoic Late Triassic Ladinian - Late Triassic）に形成された海成層 泥岩（marine mudstone）。産総研シームレス地質図V2凡例記号: Tr22-3_som</t>
        </is>
      </c>
    </row>
    <row r="73">
      <c r="A73" s="11" t="inlineStr">
        <is>
          <t>m200k_NI-52-12_u072</t>
        </is>
      </c>
      <c r="B73" s="11" t="inlineStr">
        <is>
          <t>Bajocian Sedimentary (Yatsushiro-Nomozaki Accretionary)</t>
        </is>
      </c>
      <c r="C73" s="11" t="inlineStr">
        <is>
          <t>中生代 前期ジュラ紀〜中期ジュラ紀 バジョシアン期 混在岩 前期-中期ジュラ紀付加体</t>
        </is>
      </c>
      <c r="D73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74">
      <c r="A74" s="11" t="inlineStr">
        <is>
          <t>m200k_NI-52-12_u073</t>
        </is>
      </c>
      <c r="B74" s="11" t="inlineStr">
        <is>
          <t>Lopingian Sandstone (Yatsushiro-Nomozaki Accretionary)</t>
        </is>
      </c>
      <c r="C74" s="11" t="inlineStr">
        <is>
          <t>古生代 ペルム紀 グアダルピアン世〜ローピンジアン世 海成層 砂岩 中期-後期ペルム紀付加体</t>
        </is>
      </c>
      <c r="D74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75">
      <c r="A75" s="11" t="inlineStr">
        <is>
          <t>m200k_NI-52-12_u074</t>
        </is>
      </c>
      <c r="B75" s="11" t="inlineStr">
        <is>
          <t>Jurassic Chert (Yatsushiro-Nomozaki Accretionary)</t>
        </is>
      </c>
      <c r="C75" s="11" t="inlineStr">
        <is>
          <t>古生代 石炭紀 ペンシルバニアン亜紀 後期ミシシッピアン亜紀〜中生代 前期ジュラ紀 チャート 前期-中期ジュラ紀付加体</t>
        </is>
      </c>
      <c r="D75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76">
      <c r="A76" s="11" t="inlineStr">
        <is>
          <t>m200k_NI-52-12_u075</t>
        </is>
      </c>
      <c r="B76" s="11" t="inlineStr">
        <is>
          <t>Lopingian Sedimentary (Yatsushiro-Nomozaki Accretionary)</t>
        </is>
      </c>
      <c r="C76" s="11" t="inlineStr">
        <is>
          <t>古生代 ペルム紀 グアダルピアン世〜ローピンジアン世 混在岩 中期-後期ペルム紀付加体</t>
        </is>
      </c>
      <c r="D76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77">
      <c r="A77" s="11" t="inlineStr">
        <is>
          <t>m200k_NI-52-12_u076</t>
        </is>
      </c>
      <c r="B77" s="11" t="inlineStr">
        <is>
          <t>Cisuralian Basalt (Yatsushiro-Nomozaki Accretionary)</t>
        </is>
      </c>
      <c r="C77" s="11" t="inlineStr">
        <is>
          <t>古生代 石炭紀 ペンシルバニアン亜紀 後期ミシシッピアン亜紀〜ペルム紀 シスウラリアン世 玄武岩 海洋 中期-後期ペルム紀付加体</t>
        </is>
      </c>
      <c r="D77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78">
      <c r="A78" s="11" t="inlineStr">
        <is>
          <t>m200k_NI-52-12_u077</t>
        </is>
      </c>
      <c r="B78" s="11" t="inlineStr">
        <is>
          <t>Oxfordian Sandstone (Yatsushiro-Nomozaki Accretionary)</t>
        </is>
      </c>
      <c r="C78" s="11" t="inlineStr">
        <is>
          <t>中生代 中期ジュラ紀〜後期ジュラ紀 オックスフォーディアン期 海成層 砂岩 中期-後期ジュラ紀付加体</t>
        </is>
      </c>
      <c r="D78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79">
      <c r="A79" s="11" t="inlineStr">
        <is>
          <t>m200k_NI-52-12_u078</t>
        </is>
      </c>
      <c r="B79" s="11" t="inlineStr">
        <is>
          <t>Bajocian Chert (Yatsushiro-Nomozaki Accretionary)</t>
        </is>
      </c>
      <c r="C79" s="11" t="inlineStr">
        <is>
          <t>古生代 石炭紀 ペンシルバニアン亜紀 後期ミシシッピアン亜紀〜中生代 中期ジュラ紀 バジョシアン期 チャート 中期-後期ジュラ紀付加体</t>
        </is>
      </c>
      <c r="D79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80">
      <c r="A80" s="11" t="inlineStr">
        <is>
          <t>m200k_NI-52-12_u079</t>
        </is>
      </c>
      <c r="B80" s="11" t="inlineStr">
        <is>
          <t>Triassic Limestone (Yatsushiro-Nomozaki Accretionary)</t>
        </is>
      </c>
      <c r="C80" s="11" t="inlineStr">
        <is>
          <t>古生代 石炭紀 ペンシルバニアン亜紀 後期ミシシッピアン亜紀〜中生代 三畳紀 海成層 石灰岩 前期-中期ジュラ紀付加体</t>
        </is>
      </c>
      <c r="D80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81">
      <c r="A81" s="11" t="inlineStr">
        <is>
          <t>m200k_NI-52-12_u080</t>
        </is>
      </c>
      <c r="B81" s="11" t="inlineStr">
        <is>
          <t>Bajocian Sandstone (Yatsushiro-Nomozaki Accretionary)</t>
        </is>
      </c>
      <c r="C81" s="11" t="inlineStr">
        <is>
          <t>中生代 前期ジュラ紀〜中期ジュラ紀 バジョシアン期 海成層 砂岩 前期-中期ジュラ紀付加体</t>
        </is>
      </c>
      <c r="D81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82">
      <c r="A82" s="11" t="inlineStr">
        <is>
          <t>m200k_NI-52-12_u081</t>
        </is>
      </c>
      <c r="B82" s="11" t="inlineStr">
        <is>
          <t>Cisuralian Basalt (Yatsushiro-Nomozaki Accretionary)</t>
        </is>
      </c>
      <c r="C82" s="11" t="inlineStr">
        <is>
          <t>古生代 石炭紀 ペンシルバニアン亜紀 後期ミシシッピアン亜紀〜ペルム紀 シスウラリアン世 玄武岩 海洋 前期-中期ジュラ紀付加体</t>
        </is>
      </c>
      <c r="D82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83">
      <c r="A83" s="11" t="inlineStr">
        <is>
          <t>m200k_NI-52-12_u082</t>
        </is>
      </c>
      <c r="B83" s="11" t="inlineStr">
        <is>
          <t>Norian Basalt (Yatsushiro-Nomozaki Accretionary)</t>
        </is>
      </c>
      <c r="C83" s="11" t="inlineStr">
        <is>
          <t>古生代 石炭紀 ペンシルバニアン亜紀 後期ミシシッピアン亜紀〜中生代 後期三畳紀 ノーリアン期 玄武岩 海洋 中期-後期ジュラ紀付加体</t>
        </is>
      </c>
      <c r="D83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84">
      <c r="A84" s="11" t="inlineStr">
        <is>
          <t>m200k_NI-52-12_u083</t>
        </is>
      </c>
      <c r="B84" s="11" t="inlineStr">
        <is>
          <t>Norian Limestone (Yatsushiro-Nomozaki Accretionary)</t>
        </is>
      </c>
      <c r="C84" s="11" t="inlineStr">
        <is>
          <t>古生代 石炭紀 ペンシルバニアン亜紀 後期ミシシッピアン亜紀〜中生代 後期三畳紀 ノーリアン期 海成層 石灰岩 中期-後期ジュラ紀付加体</t>
        </is>
      </c>
      <c r="D8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85">
      <c r="A85" s="11" t="inlineStr">
        <is>
          <t>m200k_NI-52-12_u084</t>
        </is>
      </c>
      <c r="B85" s="11" t="inlineStr">
        <is>
          <t>Barremian Sedimentary (Yatsushiro-Nomozaki Accretionary)</t>
        </is>
      </c>
      <c r="C85" s="11" t="inlineStr">
        <is>
          <t>中生代 中期ジュラ紀 カロビアン期〜前期白亜紀 バレミアン期 混在岩 後期ジュラ紀-前期白亜紀付加体</t>
        </is>
      </c>
      <c r="D85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86">
      <c r="A86" s="11" t="inlineStr">
        <is>
          <t>m200k_NI-52-12_u085</t>
        </is>
      </c>
      <c r="B86" s="11" t="inlineStr">
        <is>
          <t>Oxfordian Chert (Yatsushiro-Nomozaki Accretionary)</t>
        </is>
      </c>
      <c r="C86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86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87">
      <c r="A87" s="11" t="inlineStr">
        <is>
          <t>m200k_NI-52-12_u086</t>
        </is>
      </c>
      <c r="B87" s="11" t="inlineStr">
        <is>
          <t>Turonian Sandstone (Yatsushiro-Nomozaki Accretionary)</t>
        </is>
      </c>
      <c r="C87" s="11" t="inlineStr">
        <is>
          <t>中生代 前期白亜紀 アプチアン期〜後期白亜紀 チューロニアン期 泥岩砂岩互層 前期白亜紀後期-後期白亜紀前期付加体</t>
        </is>
      </c>
      <c r="D87" s="11" t="inlineStr">
        <is>
          <t>中生代 前期白亜紀 アプチアン期〜後期白亜紀 チューロニアン期（Mesozoic Early Cretaceous Aptian - Late Cretaceous Turonian）に形成された泥岩砂岩互層 前期白亜紀後期-後期白亜紀前期付加体（mandstone-predominant alternation of   sandstone &amp; mudstone late Early to early Late Cretaceous accretionary complex）。産総研シームレス地質図V2凡例記号: K12-212_somam_K1</t>
        </is>
      </c>
    </row>
    <row r="88">
      <c r="A88" s="11" t="inlineStr">
        <is>
          <t>m200k_NI-52-12_u087</t>
        </is>
      </c>
      <c r="B88" s="11" t="inlineStr">
        <is>
          <t>Turonian Sandstone (Yatsushiro-Nomozaki Accretionary)</t>
        </is>
      </c>
      <c r="C88" s="11" t="inlineStr">
        <is>
          <t>中生代 前期白亜紀 アプチアン期〜後期白亜紀 チューロニアン期 砂岩泥岩互層 前期白亜紀後期-後期白亜紀前期付加体</t>
        </is>
      </c>
      <c r="D88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89">
      <c r="A89" s="11" t="inlineStr">
        <is>
          <t>m200k_NI-52-12_u088</t>
        </is>
      </c>
      <c r="B89" s="11" t="inlineStr">
        <is>
          <t>Turonian Conglomerate (Yatsushiro-Nomozaki Accretionary)</t>
        </is>
      </c>
      <c r="C89" s="11" t="inlineStr">
        <is>
          <t>中生代 前期白亜紀 アプチアン期〜後期白亜紀 チューロニアン期 海成層 礫岩 前期白亜紀後期-後期白亜紀前期付加体</t>
        </is>
      </c>
      <c r="D89" s="11" t="inlineStr">
        <is>
          <t>中生代 前期白亜紀 アプチアン期〜後期白亜紀 チューロニアン期（Mesozoic Early Cretaceous Aptian - Late Cretaceous Turonian）に形成された海成層 礫岩 前期白亜紀後期-後期白亜紀前期付加体（marine conglomerate late Early to early Late Cretaceous accretionary complex）。産総研シームレス地質図V2凡例記号: K12-212_soc_K1</t>
        </is>
      </c>
    </row>
    <row r="90">
      <c r="A90" s="11" t="inlineStr">
        <is>
          <t>m200k_NI-52-12_u089</t>
        </is>
      </c>
      <c r="B90" s="11" t="inlineStr">
        <is>
          <t>Bajocian Conglomerate (Yatsushiro-Nomozaki Accretionary)</t>
        </is>
      </c>
      <c r="C90" s="11" t="inlineStr">
        <is>
          <t>中生代 前期ジュラ紀〜中期ジュラ紀 バジョシアン期 海成層 礫岩 前期-中期ジュラ紀付加体</t>
        </is>
      </c>
      <c r="D90" s="11" t="inlineStr">
        <is>
          <t>中生代 前期ジュラ紀〜中期ジュラ紀 バジョシアン期（Mesozoic Jurassic Early - Middle Bajocian）に形成された海成層 礫岩 前期-中期ジュラ紀付加体（marine conglomerate Early to Middle Jurassic accretionary complex）。産総研シームレス地質図V2凡例記号: J1-22_soc_J1</t>
        </is>
      </c>
    </row>
    <row r="91">
      <c r="A91" s="11" t="inlineStr">
        <is>
          <t>m200k_NI-52-12_u090</t>
        </is>
      </c>
      <c r="B91" s="11" t="inlineStr">
        <is>
          <t>Oxfordian Mudstone (Yatsushiro-Nomozaki Accretionary)</t>
        </is>
      </c>
      <c r="C91" s="11" t="inlineStr">
        <is>
          <t>中生代 中期ジュラ紀〜後期ジュラ紀 オックスフォーディアン期 海成層 泥岩 中期-後期ジュラ紀付加体</t>
        </is>
      </c>
      <c r="D91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92">
      <c r="A92" s="11" t="inlineStr">
        <is>
          <t>m200k_NI-52-12_u091</t>
        </is>
      </c>
      <c r="B92" s="11" t="inlineStr">
        <is>
          <t>Jurassic Limestone (Yatsushiro-Nomozaki Accretionary)</t>
        </is>
      </c>
      <c r="C92" s="11" t="inlineStr">
        <is>
          <t>古生代 ペルム紀 シスウラリアン世 サクマーリアン期〜中生代 ジュラ紀 海成層 石灰岩 後期ジュラ紀-前期白亜紀付加体</t>
        </is>
      </c>
      <c r="D92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93">
      <c r="A93" s="11" t="inlineStr">
        <is>
          <t>m200k_NI-52-12_u092</t>
        </is>
      </c>
      <c r="B93" s="11" t="inlineStr">
        <is>
          <t>Turonian Sandstone (Yatsushiro-Nomozaki Accretionary)</t>
        </is>
      </c>
      <c r="C93" s="11" t="inlineStr">
        <is>
          <t>中生代 前期白亜紀 アプチアン期〜後期白亜紀 チューロニアン期 海成層 砂岩 前期白亜紀後期-後期白亜紀前期付加体</t>
        </is>
      </c>
      <c r="D93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94">
      <c r="A94" s="11" t="inlineStr">
        <is>
          <t>m200k_NI-52-12_u093</t>
        </is>
      </c>
      <c r="B94" s="11" t="inlineStr">
        <is>
          <t>Barremian Conglomerate (Yatsushiro-Nomozaki Accretionary)</t>
        </is>
      </c>
      <c r="C94" s="11" t="inlineStr">
        <is>
          <t>中生代 中期ジュラ紀 カロビアン期〜前期白亜紀 バレミアン期 海成層 礫岩 後期ジュラ紀-前期白亜紀付加体</t>
        </is>
      </c>
      <c r="D94" s="11" t="inlineStr">
        <is>
          <t>中生代 中期ジュラ紀 カロビアン期〜前期白亜紀 バレミアン期（Mesozoic Jurassic Middle Callovian - Early Cretaceous Barremian）に形成された海成層 礫岩 後期ジュラ紀-前期白亜紀付加体（marine conglomerate Late Jurassic to Early Cretaceous accretionary complex）。産総研シームレス地質図V2凡例記号: J24-K11_soc_J3</t>
        </is>
      </c>
    </row>
    <row r="95">
      <c r="A95" s="11" t="inlineStr">
        <is>
          <t>m200k_NI-52-12_u094</t>
        </is>
      </c>
      <c r="B95" s="11" t="inlineStr">
        <is>
          <t>Turonian Mudstone (Yatsushiro-Nomozaki Accretionary)</t>
        </is>
      </c>
      <c r="C95" s="11" t="inlineStr">
        <is>
          <t>中生代 前期白亜紀 アプチアン期〜後期白亜紀 チューロニアン期 海成層 泥岩 前期白亜紀後期-後期白亜紀前期付加体</t>
        </is>
      </c>
      <c r="D95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96">
      <c r="A96" s="11" t="inlineStr">
        <is>
          <t>m200k_NI-52-12_u095</t>
        </is>
      </c>
      <c r="B96" s="11" t="inlineStr">
        <is>
          <t>Oxfordian Conglomerate (Yatsushiro-Nomozaki Accretionary)</t>
        </is>
      </c>
      <c r="C96" s="11" t="inlineStr">
        <is>
          <t>中生代 中期ジュラ紀〜後期ジュラ紀 オックスフォーディアン期 海成層 礫岩 中期-後期ジュラ紀付加体</t>
        </is>
      </c>
      <c r="D96" s="11" t="inlineStr">
        <is>
          <t>中生代 中期ジュラ紀〜後期ジュラ紀 オックスフォーディアン期（Mesozoic Jurassic Middle - Late Jurassic Oxfordian）に形成された海成層 礫岩 中期-後期ジュラ紀付加体（marine conglomerate Middle to Late Jurassic accretionary complex）。産総研シームレス地質図V2凡例記号: J2-31_soc_J2</t>
        </is>
      </c>
    </row>
    <row r="97">
      <c r="A97" s="11" t="inlineStr">
        <is>
          <t>m200k_NI-52-12_u096</t>
        </is>
      </c>
      <c r="B97" s="11" t="inlineStr">
        <is>
          <t>Norian Basalt (Yatsushiro-Nomozaki Accretionary)</t>
        </is>
      </c>
      <c r="C97" s="11" t="inlineStr">
        <is>
          <t>古生代 ペルム紀 シスウラリアン世 サクマーリアン期〜中生代 後期三畳紀 ノーリアン期 玄武岩 海洋 後期ジュラ紀-前期白亜紀付加体</t>
        </is>
      </c>
      <c r="D97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98">
      <c r="A98" s="11" t="inlineStr">
        <is>
          <t>m200k_NI-52-12_u097</t>
        </is>
      </c>
      <c r="B98" s="11" t="inlineStr">
        <is>
          <t>Turonian Sedimentary (Yatsushiro-Nomozaki Accretionary)</t>
        </is>
      </c>
      <c r="C98" s="11" t="inlineStr">
        <is>
          <t>中生代 前期白亜紀 アプチアン期〜後期白亜紀 チューロニアン期 混在岩 前期白亜紀後期-後期白亜紀前期付加体</t>
        </is>
      </c>
      <c r="D98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99">
      <c r="A99" s="11" t="inlineStr">
        <is>
          <t>m200k_NI-52-12_u098</t>
        </is>
      </c>
      <c r="B99" s="11" t="inlineStr">
        <is>
          <t>Maastrichtian Sedimentary (Yatsushiro-Nomozaki Accretionary)</t>
        </is>
      </c>
      <c r="C99" s="11" t="inlineStr">
        <is>
          <t>中生代 後期白亜紀 チューロニアン期〜マーストリヒチアン期 混在岩 後期白亜紀付加体</t>
        </is>
      </c>
      <c r="D99" s="11" t="inlineStr">
        <is>
          <t>中生代 後期白亜紀 チューロニアン期〜マーストリヒチアン期（Mesozoic Late Cretaceous Turonian - Maastrichtian）に形成された混在岩 後期白亜紀付加体（mixed rock Late Cretaceous accretionary complex）。産総研シームレス地質図V2凡例記号: K212-22_sx_K2</t>
        </is>
      </c>
    </row>
    <row r="100">
      <c r="A100" s="11" t="inlineStr">
        <is>
          <t>m200k_NI-52-12_u099</t>
        </is>
      </c>
      <c r="B100" s="11" t="inlineStr">
        <is>
          <t>Maastrichtian Sandstone (Yatsushiro-Nomozaki Accretionary)</t>
        </is>
      </c>
      <c r="C100" s="11" t="inlineStr">
        <is>
          <t>中生代 後期白亜紀 チューロニアン期〜マーストリヒチアン期 海成層 砂岩 後期白亜紀付加体</t>
        </is>
      </c>
      <c r="D100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101">
      <c r="A101" s="11" t="inlineStr">
        <is>
          <t>m200k_NI-52-12_u100</t>
        </is>
      </c>
      <c r="B101" s="11" t="inlineStr">
        <is>
          <t>Guadalupian Chert (Yatsushiro-Nomozaki Accretionary)</t>
        </is>
      </c>
      <c r="C101" s="11" t="inlineStr">
        <is>
          <t>古生代 石炭紀 ペンシルバニアン亜紀 後期ミシシッピアン亜紀〜ペルム紀 グアダルピアン世 チャート 中期-後期ペルム紀付加体</t>
        </is>
      </c>
      <c r="D101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102">
      <c r="A102" s="11" t="inlineStr">
        <is>
          <t>m200k_NI-52-12_u101</t>
        </is>
      </c>
      <c r="B102" s="11" t="inlineStr">
        <is>
          <t>Turonian Chert (Yatsushiro-Nomozaki Accretionary)</t>
        </is>
      </c>
      <c r="C102" s="11" t="inlineStr">
        <is>
          <t>中生代 後期ジュラ紀 チトニアン期〜後期白亜紀 チューロニアン期 チャート 後期白亜紀付加体</t>
        </is>
      </c>
      <c r="D102" s="11" t="inlineStr">
        <is>
          <t>中生代 後期ジュラ紀 チトニアン期〜後期白亜紀 チューロニアン期（Mesozoic Late Jurassic Tithonian - Late Cretaceous Turonian）に形成されたチャート 後期白亜紀付加体（chert Late Cretaceous accretionary complex）。産総研シームレス地質図V2凡例記号: J33-K212_soh_K2</t>
        </is>
      </c>
    </row>
    <row r="103">
      <c r="A103" s="11" t="inlineStr">
        <is>
          <t>m200k_NI-52-12_u102</t>
        </is>
      </c>
      <c r="B103" s="11" t="inlineStr">
        <is>
          <t>Turonian Basalt (Yatsushiro-Nomozaki Accretionary)</t>
        </is>
      </c>
      <c r="C103" s="11" t="inlineStr">
        <is>
          <t>中生代 後期ジュラ紀 チトニアン期〜後期白亜紀 チューロニアン期 玄武岩 海洋 後期白亜紀付加体</t>
        </is>
      </c>
      <c r="D103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04">
      <c r="A104" s="11" t="inlineStr">
        <is>
          <t>m200k_NI-52-12_u103</t>
        </is>
      </c>
      <c r="B104" s="11" t="inlineStr">
        <is>
          <t>Maastrichtian Conglomerate (Yatsushiro-Nomozaki Accretionary)</t>
        </is>
      </c>
      <c r="C104" s="11" t="inlineStr">
        <is>
          <t>中生代 後期白亜紀 チューロニアン期〜マーストリヒチアン期 海成層 礫岩 後期白亜紀付加体</t>
        </is>
      </c>
      <c r="D104" s="11" t="inlineStr">
        <is>
          <t>中生代 後期白亜紀 チューロニアン期〜マーストリヒチアン期（Mesozoic Late Cretaceous Turonian - Maastrichtian）に形成された海成層 礫岩 後期白亜紀付加体（marine conglomerate Late Cretaceous accretionary complex）。産総研シームレス地質図V2凡例記号: K212-22_soc_K2</t>
        </is>
      </c>
    </row>
    <row r="105">
      <c r="A105" s="11" t="inlineStr">
        <is>
          <t>m200k_NI-52-12_u104</t>
        </is>
      </c>
      <c r="B105" s="11" t="inlineStr">
        <is>
          <t>Maastrichtian Sandstone (Yatsushiro-Nomozaki Accretionary)</t>
        </is>
      </c>
      <c r="C105" s="11" t="inlineStr">
        <is>
          <t>中生代 後期白亜紀 チューロニアン期〜マーストリヒチアン期 砂岩泥岩互層 後期白亜紀付加体</t>
        </is>
      </c>
      <c r="D105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06">
      <c r="A106" s="11" t="inlineStr">
        <is>
          <t>m200k_NI-52-12_u105</t>
        </is>
      </c>
      <c r="B106" s="11" t="inlineStr">
        <is>
          <t>Turonian Limestone (Yatsushiro-Nomozaki Accretionary)</t>
        </is>
      </c>
      <c r="C106" s="11" t="inlineStr">
        <is>
          <t>中生代 後期ジュラ紀 チトニアン期〜後期白亜紀 チューロニアン期 海成層 石灰岩 後期白亜紀付加体</t>
        </is>
      </c>
      <c r="D106" s="11" t="inlineStr">
        <is>
          <t>中生代 後期ジュラ紀 チトニアン期〜後期白亜紀 チューロニアン期（Mesozoic Late Jurassic Tithonian - Late Cretaceous Turonian）に形成された海成層 石灰岩 後期白亜紀付加体（marine limestone Late Cretaceous accretionary complex）。産総研シームレス地質図V2凡例記号: J33-K212_sol_K2</t>
        </is>
      </c>
    </row>
    <row r="107">
      <c r="A107" s="11" t="inlineStr">
        <is>
          <t>m200k_NI-52-12_u106</t>
        </is>
      </c>
      <c r="B107" s="11" t="inlineStr">
        <is>
          <t>Aptian Mudstone (Yatsushiro-Nomozaki Accretionary)</t>
        </is>
      </c>
      <c r="C107" s="11" t="inlineStr">
        <is>
          <t>中生代 後期ジュラ紀 チトニアン期〜前期白亜紀 アプチアン期 多色泥岩 前期白亜紀後期-後期白亜紀前期付加体</t>
        </is>
      </c>
      <c r="D107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108">
      <c r="A108" s="11" t="inlineStr">
        <is>
          <t>m200k_NI-52-12_u107</t>
        </is>
      </c>
      <c r="B108" s="11" t="inlineStr">
        <is>
          <t>Maastrichtian Mudstone (Yatsushiro-Nomozaki Accretionary)</t>
        </is>
      </c>
      <c r="C108" s="11" t="inlineStr">
        <is>
          <t>中生代 後期白亜紀 チューロニアン期〜マーストリヒチアン期 海成層 泥岩 後期白亜紀付加体</t>
        </is>
      </c>
      <c r="D108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109">
      <c r="A109" s="11" t="inlineStr">
        <is>
          <t>m200k_NI-52-12_u108</t>
        </is>
      </c>
      <c r="B109" s="11" t="inlineStr">
        <is>
          <t>Oxfordian Sedimentary (Yatsushiro-Nomozaki Accretionary)</t>
        </is>
      </c>
      <c r="C109" s="11" t="inlineStr">
        <is>
          <t>中生代 中期ジュラ紀〜後期ジュラ紀 オックスフォーディアン期 混在岩 中期-後期ジュラ紀付加体</t>
        </is>
      </c>
      <c r="D109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110">
      <c r="A110" s="11" t="inlineStr">
        <is>
          <t>m200k_NI-52-12_u109</t>
        </is>
      </c>
      <c r="B110" s="11" t="inlineStr">
        <is>
          <t>Maastrichtian Sandstone (Yatsushiro-Nomozaki Accretionary)</t>
        </is>
      </c>
      <c r="C110" s="11" t="inlineStr">
        <is>
          <t>中生代 後期白亜紀 チューロニアン期〜マーストリヒチアン期 泥岩砂岩互層 後期白亜紀付加体</t>
        </is>
      </c>
      <c r="D110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111">
      <c r="A111" s="11" t="inlineStr">
        <is>
          <t>m200k_NI-52-12_u110</t>
        </is>
      </c>
      <c r="B111" s="11" t="inlineStr">
        <is>
          <t>Maastrichtian Dacite (Yatsushiro-Nomozaki Accretionary)</t>
        </is>
      </c>
      <c r="C111" s="11" t="inlineStr">
        <is>
          <t>中生代 後期白亜紀 チューロニアン期〜マーストリヒチアン期 デイサイト・流紋岩・粗面岩 海洋 後期白亜紀付加体</t>
        </is>
      </c>
      <c r="D111" s="11" t="inlineStr">
        <is>
          <t>中生代 後期白亜紀 チューロニアン期〜マーストリヒチアン期（Mesozoic Late Cretaceous Turonian - Maastrichtian）に形成されたデイサイト・流紋岩・粗面岩 海洋 後期白亜紀付加体（dacite, rhyolite &amp; trachyte oceanic Late Cretaceous accretionary complex）。産総研シームレス地質図V2凡例記号: K212-22_va_ol_K2</t>
        </is>
      </c>
    </row>
    <row r="112">
      <c r="A112" s="11" t="inlineStr">
        <is>
          <t>m200k_NI-52-12_u111</t>
        </is>
      </c>
      <c r="B112" s="11" t="inlineStr">
        <is>
          <t>Aptian Chert (Yatsushiro-Nomozaki Accretionary)</t>
        </is>
      </c>
      <c r="C112" s="11" t="inlineStr">
        <is>
          <t>中生代 後期ジュラ紀 チトニアン期〜前期白亜紀 アプチアン期 チャート 前期白亜紀後期-後期白亜紀前期付加体</t>
        </is>
      </c>
      <c r="D112" s="11" t="inlineStr">
        <is>
          <t>中生代 後期ジュラ紀 チトニアン期〜前期白亜紀 アプチアン期（Mesozoic Late Jurassic Tithonian - Early Cretaceous Aptian）に形成されたチャート 前期白亜紀後期-後期白亜紀前期付加体（chert late Early to early Late Cretaceous accretionary complex）。産総研シームレス地質図V2凡例記号: J33-K121_soh_K1</t>
        </is>
      </c>
    </row>
    <row r="113">
      <c r="A113" s="11" t="inlineStr">
        <is>
          <t>m200k_NI-52-12_u112</t>
        </is>
      </c>
      <c r="B113" s="11" t="inlineStr">
        <is>
          <t>Turonian Mudstone (Yatsushiro-Nomozaki Accretionary)</t>
        </is>
      </c>
      <c r="C113" s="11" t="inlineStr">
        <is>
          <t>中生代 後期ジュラ紀 チトニアン期〜後期白亜紀 チューロニアン期 多色泥岩 後期白亜紀付加体</t>
        </is>
      </c>
      <c r="D113" s="11" t="inlineStr">
        <is>
          <t>中生代 後期ジュラ紀 チトニアン期〜後期白亜紀 チューロニアン期（Mesozoic Late Jurassic Tithonian - Late Cretaceous Turonian）に形成された多色泥岩 後期白亜紀付加体（red or green mudstone Late Cretaceous accretionary complex）。産総研シームレス地質図V2凡例記号: J33-K212_sor_K2</t>
        </is>
      </c>
    </row>
    <row r="114">
      <c r="A114" s="11" t="inlineStr">
        <is>
          <t>m200k_NI-52-12_u113</t>
        </is>
      </c>
      <c r="B114" s="11" t="inlineStr">
        <is>
          <t>Aptian Basalt (Yatsushiro-Nomozaki Accretionary)</t>
        </is>
      </c>
      <c r="C114" s="11" t="inlineStr">
        <is>
          <t>中生代 後期ジュラ紀 チトニアン期〜前期白亜紀 アプチアン期 玄武岩 海洋 前期白亜紀後期-後期白亜紀前期付加体</t>
        </is>
      </c>
      <c r="D114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115">
      <c r="A115" s="11" t="inlineStr">
        <is>
          <t>m200k_NI-52-12_u114</t>
        </is>
      </c>
      <c r="B115" s="11" t="inlineStr">
        <is>
          <t>Albian Diorite (Yatsushiro-Nomozaki Plutonic)</t>
        </is>
      </c>
      <c r="C115" s="11" t="inlineStr">
        <is>
          <t>中生代 前期白亜紀 アプチアン期〜アルビアン期 閃緑岩・石英閃緑岩 島弧・大陸</t>
        </is>
      </c>
      <c r="D115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116">
      <c r="A116" s="11" t="inlineStr">
        <is>
          <t>m200k_NI-52-12_u115</t>
        </is>
      </c>
      <c r="B116" s="11" t="inlineStr">
        <is>
          <t>Albian Granite (Yatsushiro-Nomozaki Plutonic)</t>
        </is>
      </c>
      <c r="C116" s="11" t="inlineStr">
        <is>
          <t>中生代 前期白亜紀 アプチアン期〜アルビアン期 花崗岩 塊状 島弧・大陸</t>
        </is>
      </c>
      <c r="D116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117">
      <c r="A117" s="11" t="inlineStr">
        <is>
          <t>m200k_NI-52-12_u116</t>
        </is>
      </c>
      <c r="B117" s="11" t="inlineStr">
        <is>
          <t>Albian Gabbro (Yatsushiro-Nomozaki Plutonic)</t>
        </is>
      </c>
      <c r="C117" s="11" t="inlineStr">
        <is>
          <t>中生代 前期白亜紀 アプチアン期〜アルビアン期 斑れい岩 島弧・大陸</t>
        </is>
      </c>
      <c r="D117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118">
      <c r="A118" s="11" t="inlineStr">
        <is>
          <t>m200k_NI-52-12_u117</t>
        </is>
      </c>
      <c r="B118" s="11" t="inlineStr">
        <is>
          <t>Silurian Granite (Yatsushiro-Nomozaki Plutonic)</t>
        </is>
      </c>
      <c r="C118" s="11" t="inlineStr">
        <is>
          <t>古生代 オルドビス紀〜シルル紀 花崗岩 塊状 島弧・大陸</t>
        </is>
      </c>
      <c r="D118" s="11" t="inlineStr">
        <is>
          <t>古生代 オルドビス紀〜シルル紀（Paleozoic Ordovician - Silurian）に形成された花崗岩 塊状 島弧・大陸（massive granite island arc &amp; continental）。産総研シームレス地質図V2凡例記号: O-S_pam_a</t>
        </is>
      </c>
    </row>
    <row r="119">
      <c r="A119" s="11" t="inlineStr">
        <is>
          <t>m200k_NI-52-12_u118</t>
        </is>
      </c>
      <c r="B119" s="11" t="inlineStr">
        <is>
          <t>Serravallian Granite (Yatsushiro-Nomozaki Plutonic)</t>
        </is>
      </c>
      <c r="C119" s="11" t="inlineStr">
        <is>
          <t>新生代 新第三紀 中新世 後期ランギアン期〜前期サーラバリアン期 花崗岩 塊状 島弧・大陸</t>
        </is>
      </c>
      <c r="D119" s="11" t="inlineStr">
        <is>
          <t>新生代 新第三紀 中新世 後期ランギアン期〜前期サーラバリアン期（Cenozoic Neogene Miocene late Langhian - early Serravallian）に形成された花崗岩 塊状 島弧・大陸（massive granite island arc &amp; continental）。産総研シームレス地質図V2凡例記号: N21_pam_a</t>
        </is>
      </c>
    </row>
    <row r="120">
      <c r="A120" s="11" t="inlineStr">
        <is>
          <t>m200k_NI-52-12_u119</t>
        </is>
      </c>
      <c r="B120" s="11" t="inlineStr">
        <is>
          <t>Tortonian Dacite (Yatsushiro-Nomozaki Neogene-Paleogene)</t>
        </is>
      </c>
      <c r="C120" s="11" t="inlineStr">
        <is>
          <t>新生代 新第三紀 中新世 後期ランギアン期〜トートニアン期 デイサイト・流紋岩 貫入岩</t>
        </is>
      </c>
      <c r="D120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21">
      <c r="A121" s="11" t="inlineStr">
        <is>
          <t>m200k_NI-52-12_u120</t>
        </is>
      </c>
      <c r="B121" s="11" t="inlineStr">
        <is>
          <t>Devonian Dacite (Yatsushiro-Nomozaki Neogene-Paleogene)</t>
        </is>
      </c>
      <c r="C121" s="11" t="inlineStr">
        <is>
          <t>古生代 後期オルドビス紀〜前期デボン紀 デイサイト・流紋岩・粗面岩 溶岩・火砕岩</t>
        </is>
      </c>
      <c r="D121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122">
      <c r="A122" s="11" t="inlineStr">
        <is>
          <t>m200k_NI-52-12_u121</t>
        </is>
      </c>
      <c r="B122" s="11" t="inlineStr">
        <is>
          <t>Pliocene Andesite (Yatsushiro-Nomozaki Neogene-Paleogene)</t>
        </is>
      </c>
      <c r="C122" s="11" t="inlineStr">
        <is>
          <t>新生代 新第三紀 中新世 メッシニアン期〜鮮新世 安山岩・玄武岩質安山岩 溶岩・火砕岩</t>
        </is>
      </c>
      <c r="D122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23">
      <c r="A123" s="11" t="inlineStr">
        <is>
          <t>m200k_NI-52-12_u122</t>
        </is>
      </c>
      <c r="B123" s="11" t="inlineStr">
        <is>
          <t>Tortonian Dacite (Yatsushiro-Nomozaki Neogene-Paleogene)</t>
        </is>
      </c>
      <c r="C123" s="11" t="inlineStr">
        <is>
          <t>新生代 新第三紀 中新世 後期ランギアン期〜トートニアン期 デイサイト・流紋岩 大規模火砕流</t>
        </is>
      </c>
      <c r="D123" s="11" t="inlineStr">
        <is>
          <t>新生代 新第三紀 中新世 後期ランギアン期〜トートニアン期（Cenozoic Neogene Miocene late Langhian - Tortonian）に形成されたデイサイト・流紋岩 大規模火砕流（dacite &amp; rhyolite pyroclastic rocks）。産総研シームレス地質図V2凡例記号: N2_vas_ap</t>
        </is>
      </c>
    </row>
    <row r="124">
      <c r="A124" s="11" t="inlineStr">
        <is>
          <t>m200k_NI-52-12_u123</t>
        </is>
      </c>
      <c r="B124" s="11" t="inlineStr">
        <is>
          <t>Tortonian Dacite (Yatsushiro-Nomozaki Neogene-Paleogene)</t>
        </is>
      </c>
      <c r="C124" s="11" t="inlineStr">
        <is>
          <t>新生代 新第三紀 中新世 後期ランギアン期〜トートニアン期 デイサイト・流紋岩 溶岩・火砕岩</t>
        </is>
      </c>
      <c r="D124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25">
      <c r="A125" s="11" t="inlineStr">
        <is>
          <t>m200k_NI-52-12_u124</t>
        </is>
      </c>
      <c r="B125" s="11" t="inlineStr">
        <is>
          <t>Tortonian Andesite (Yatsushiro-Nomozaki Neogene-Paleogene)</t>
        </is>
      </c>
      <c r="C125" s="11" t="inlineStr">
        <is>
          <t>新生代 新第三紀 中新世 後期ランギアン期〜トートニアン期 安山岩・玄武岩質安山岩 溶岩・火砕岩</t>
        </is>
      </c>
      <c r="D12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26">
      <c r="A126" s="11" t="inlineStr">
        <is>
          <t>m200k_NI-52-12_u125</t>
        </is>
      </c>
      <c r="B126" s="11" t="inlineStr">
        <is>
          <t>Silurian Sedimentary (Yatsushiro-Nomozaki Paleozoic)</t>
        </is>
      </c>
      <c r="C126" s="11" t="inlineStr">
        <is>
          <t>古生代 オルドビス紀〜シルル紀 超苦鉄質岩類 島弧・大陸</t>
        </is>
      </c>
      <c r="D126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127">
      <c r="A127" s="11" t="inlineStr">
        <is>
          <t>m200k_NI-52-12_u126</t>
        </is>
      </c>
      <c r="B127" s="11" t="inlineStr">
        <is>
          <t>Devonian Limestone (Yatsushiro-Nomozaki Paleozoic)</t>
        </is>
      </c>
      <c r="C127" s="11" t="inlineStr">
        <is>
          <t>古生代 後期オルドビス紀〜前期デボン紀 海成層 石灰岩</t>
        </is>
      </c>
      <c r="D127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128">
      <c r="A128" s="11" t="inlineStr">
        <is>
          <t>m200k_NI-52-12_u127</t>
        </is>
      </c>
      <c r="B128" s="11" t="inlineStr">
        <is>
          <t>Devonian Mudstone (Yatsushiro-Nomozaki Paleozoic)</t>
        </is>
      </c>
      <c r="C128" s="11" t="inlineStr">
        <is>
          <t>古生代 後期オルドビス紀〜前期デボン紀 海成層 泥岩</t>
        </is>
      </c>
      <c r="D128" s="11" t="inlineStr">
        <is>
          <t>古生代 後期オルドビス紀〜前期デボン紀（Paleozoic Ordovician Late - Early Devonian）に形成された海成層 泥岩（marine mudstone）。産総研シームレス地質図V2凡例記号: O3-D1_som</t>
        </is>
      </c>
    </row>
    <row r="129">
      <c r="A129" s="11" t="inlineStr">
        <is>
          <t>m200k_NI-52-12_u128</t>
        </is>
      </c>
      <c r="B129" s="11" t="inlineStr">
        <is>
          <t>Devonian Mudstone (Yatsushiro-Nomozaki Paleozoic)</t>
        </is>
      </c>
      <c r="C129" s="11" t="inlineStr">
        <is>
          <t>古生代 中期デボン紀〜後期デボン紀 海成層 泥岩</t>
        </is>
      </c>
      <c r="D129" s="11" t="inlineStr">
        <is>
          <t>古生代 中期デボン紀〜後期デボン紀（Paleozoic Middle Devonian - Late Devonian）に形成された海成層 泥岩（marine mudstone）。産総研シームレス地質図V2凡例記号: D2-3_som</t>
        </is>
      </c>
    </row>
    <row r="130">
      <c r="A130" s="11" t="inlineStr">
        <is>
          <t>m200k_NI-52-12_u129</t>
        </is>
      </c>
      <c r="B130" s="11" t="inlineStr">
        <is>
          <t>Pliocene Conglomerate (Yatsushiro-Nomozaki Neogene)</t>
        </is>
      </c>
      <c r="C130" s="11" t="inlineStr">
        <is>
          <t>新生代 新第三紀 中新世 メッシニアン期〜鮮新世 非海成層 礫岩</t>
        </is>
      </c>
      <c r="D130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131">
      <c r="A131" s="11" t="inlineStr">
        <is>
          <t>m200k_NI-52-12_u130</t>
        </is>
      </c>
      <c r="B131" s="11" t="inlineStr">
        <is>
          <t>Langhian Conglomerate (Yatsushiro-Nomozaki Neogene)</t>
        </is>
      </c>
      <c r="C131" s="11" t="inlineStr">
        <is>
          <t>新生代 新第三紀 中新世 バーディガリアン期〜前期ランギアン期 非海成層 礫岩</t>
        </is>
      </c>
      <c r="D131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132">
      <c r="A132" s="11" t="inlineStr">
        <is>
          <t>m200k_NI-52-12_u131</t>
        </is>
      </c>
      <c r="B132" s="11" t="inlineStr">
        <is>
          <t>Serravallian Tonalite (Yatsushiro-Nomozaki Neogene)</t>
        </is>
      </c>
      <c r="C132" s="11" t="inlineStr">
        <is>
          <t>新生代 新第三紀 中新世 後期ランギアン期〜前期サーラバリアン期 花崗閃緑岩・トーナル岩 塊状 島弧・大陸</t>
        </is>
      </c>
      <c r="D132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133">
      <c r="A133" s="11" t="inlineStr">
        <is>
          <t>m200k_NI-52-12_u132</t>
        </is>
      </c>
      <c r="B133" s="11" t="inlineStr">
        <is>
          <t>Priabonian Sandstone (Yatsushiro-Nomozaki Sedimentary)</t>
        </is>
      </c>
      <c r="C133" s="11" t="inlineStr">
        <is>
          <t>新生代 古第三紀 始新世 ルテシアン期〜プリアボニアン期 海成層 砂岩</t>
        </is>
      </c>
      <c r="D133" s="11" t="inlineStr">
        <is>
          <t>新生代 古第三紀 始新世 ルテシアン期〜プリアボニアン期（Cenozoic Paleogene Eocene Lutetian - Priabonian）に形成された海成層 砂岩（marine sandstone）。産総研シームレス地質図V2凡例記号: Pg2_soss</t>
        </is>
      </c>
    </row>
    <row r="134">
      <c r="A134" s="11" t="inlineStr">
        <is>
          <t>m200k_NI-52-12_u133</t>
        </is>
      </c>
      <c r="B134" s="11" t="inlineStr">
        <is>
          <t>Priabonian Mudstone (Yatsushiro-Nomozaki Sedimentary)</t>
        </is>
      </c>
      <c r="C134" s="11" t="inlineStr">
        <is>
          <t>新生代 古第三紀 始新世 ルテシアン期〜プリアボニアン期 海成層 泥岩</t>
        </is>
      </c>
      <c r="D134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135">
      <c r="A135" s="11" t="inlineStr">
        <is>
          <t>m200k_NI-52-12_u134</t>
        </is>
      </c>
      <c r="B135" s="11" t="inlineStr">
        <is>
          <t>Priabonian Sandstone (Yatsushiro-Nomozaki Sedimentary)</t>
        </is>
      </c>
      <c r="C135" s="11" t="inlineStr">
        <is>
          <t>新生代 古第三紀 始新世 ルテシアン期〜プリアボニアン期 海成層 砂岩泥岩互層</t>
        </is>
      </c>
      <c r="D135" s="11" t="inlineStr">
        <is>
          <t>新生代 古第三紀 始新世 ルテシアン期〜プリアボニアン期（Cenozoic Paleogene Eocene Lutetian - Priabonian）に形成された海成層 砂岩泥岩互層（marine alternation of sandstone &amp; mudstone）。産総研シームレス地質図V2凡例記号: Pg2_sosma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2026-08-14T03:40:46Z</dcterms:created>
  <dcterms:modified xmlns:dcterms="http://purl.org/dc/terms/" xmlns:xsi="http://www.w3.org/2001/XMLSchema-instance" xsi:type="dcterms:W3CDTF">2026-08-14T03:40:47Z</dcterms:modified>
</cp:coreProperties>
</file>