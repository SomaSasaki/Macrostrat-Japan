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'units_review'!$A$1:$AC$6</definedName>
    <definedName name="_xlnm._FilterDatabase" localSheetId="2" hidden="1">'columns_review'!$A$1:$K$5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m200k_NG-51-10･16_u001</t>
        </is>
      </c>
      <c r="B2" s="6" t="inlineStr">
        <is>
          <t>col_1</t>
        </is>
      </c>
      <c r="C2" s="6" t="n">
        <v>1</v>
      </c>
      <c r="D2" s="7" t="inlineStr">
        <is>
          <t>Pleistocene Basalt (Uotsurijima Quaternary)</t>
        </is>
      </c>
      <c r="E2" s="5" t="inlineStr">
        <is>
          <t>Uotsurijima Quaternary Volcanic Arc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basalt</t>
        </is>
      </c>
      <c r="M2" s="5" t="inlineStr"/>
      <c r="N2" s="5" t="inlineStr">
        <is>
          <t>volcanic</t>
        </is>
      </c>
      <c r="O2" s="5" t="inlineStr">
        <is>
          <t>Cenozoic Quaternary Late Pleistocene; basalt lava &amp; pyroclastic rocks [Quaternary Volcanic Arc]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Q3_vbs_al</t>
        </is>
      </c>
      <c r="U2" s="5" t="inlineStr"/>
      <c r="V2" s="10" t="inlineStr">
        <is>
          <t>Q3_vbs_al</t>
        </is>
      </c>
      <c r="W2" s="10" t="inlineStr">
        <is>
          <t>新生代 第四紀 後期更新世</t>
        </is>
      </c>
      <c r="X2" s="10" t="inlineStr">
        <is>
          <t>Cenozoic Quaternary Late Pleistocene</t>
        </is>
      </c>
      <c r="Y2" s="10" t="inlineStr">
        <is>
          <t>玄武岩 溶岩・火砕岩</t>
        </is>
      </c>
      <c r="Z2" s="10" t="inlineStr">
        <is>
          <t>basalt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Quaternary Volcanic Arc</t>
        </is>
      </c>
    </row>
    <row r="3">
      <c r="A3" s="5" t="inlineStr">
        <is>
          <t>m200k_NG-51-10･16_u002</t>
        </is>
      </c>
      <c r="B3" s="6" t="inlineStr">
        <is>
          <t>col_2</t>
        </is>
      </c>
      <c r="C3" s="6" t="n">
        <v>1</v>
      </c>
      <c r="D3" s="7" t="inlineStr">
        <is>
          <t>Tortonian Andesite (Uotsurijima Neogene-Paleogene)</t>
        </is>
      </c>
      <c r="E3" s="5" t="inlineStr">
        <is>
          <t>Uotsurijima Neogene-Paleogene Volcanic Complex</t>
        </is>
      </c>
      <c r="F3" s="6" t="inlineStr">
        <is>
          <t>Tortonian</t>
        </is>
      </c>
      <c r="G3" s="8" t="n">
        <v>7.246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Langhian</t>
        </is>
      </c>
      <c r="J3" s="8" t="n">
        <v>15.98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andesite</t>
        </is>
      </c>
      <c r="M3" s="5" t="inlineStr"/>
      <c r="N3" s="5" t="inlineStr">
        <is>
          <t>volcanic</t>
        </is>
      </c>
      <c r="O3" s="5" t="inlineStr">
        <is>
          <t>Cenozoic Neogene Miocene late Langhian - Tortonian; andesite &amp; basaltic andesite intrusives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N2_vis_ai</t>
        </is>
      </c>
      <c r="U3" s="5" t="inlineStr"/>
      <c r="V3" s="10" t="inlineStr">
        <is>
          <t>N2_vis_ai</t>
        </is>
      </c>
      <c r="W3" s="10" t="inlineStr">
        <is>
          <t>新生代 新第三紀 中新世 後期ランギアン期〜トートニアン期</t>
        </is>
      </c>
      <c r="X3" s="10" t="inlineStr">
        <is>
          <t>Cenozoic Neogene Miocene late Langhian - Tortonian</t>
        </is>
      </c>
      <c r="Y3" s="10" t="inlineStr">
        <is>
          <t>安山岩・玄武岩質安山岩 貫入岩</t>
        </is>
      </c>
      <c r="Z3" s="10" t="inlineStr">
        <is>
          <t>andesite &amp; basaltic andesite intrusives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m200k_NG-51-10･16_u003</t>
        </is>
      </c>
      <c r="B4" s="6" t="inlineStr">
        <is>
          <t>col_3</t>
        </is>
      </c>
      <c r="C4" s="6" t="n">
        <v>1</v>
      </c>
      <c r="D4" s="7" t="inlineStr">
        <is>
          <t>Langhian Conglomerate (Uotsurijima Neogene)</t>
        </is>
      </c>
      <c r="E4" s="5" t="inlineStr">
        <is>
          <t>Uotsurijima Neogene Sedimentary Basin</t>
        </is>
      </c>
      <c r="F4" s="6" t="inlineStr">
        <is>
          <t>Langhian</t>
        </is>
      </c>
      <c r="G4" s="8" t="n">
        <v>13.82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Burdigalian</t>
        </is>
      </c>
      <c r="J4" s="8" t="n">
        <v>20.45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conglomerate</t>
        </is>
      </c>
      <c r="M4" s="5" t="inlineStr"/>
      <c r="N4" s="5" t="inlineStr">
        <is>
          <t>marine</t>
        </is>
      </c>
      <c r="O4" s="5" t="inlineStr">
        <is>
          <t>Cenozoic Neogene Miocene Burdigalian - early Langhian; marine conglomerate [Neogene Sedimentary Basin]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N1_soc</t>
        </is>
      </c>
      <c r="U4" s="5" t="inlineStr"/>
      <c r="V4" s="10" t="inlineStr">
        <is>
          <t>N1_soc</t>
        </is>
      </c>
      <c r="W4" s="10" t="inlineStr">
        <is>
          <t>新生代 新第三紀 中新世 バーディガリアン期〜前期ランギアン期</t>
        </is>
      </c>
      <c r="X4" s="10" t="inlineStr">
        <is>
          <t>Cenozoic Neogene Miocene Burdigalian - early Langhian</t>
        </is>
      </c>
      <c r="Y4" s="10" t="inlineStr">
        <is>
          <t>海成層 礫岩</t>
        </is>
      </c>
      <c r="Z4" s="10" t="inlineStr">
        <is>
          <t>marine conglomerate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Neogene Sedimentary Basin</t>
        </is>
      </c>
    </row>
    <row r="5">
      <c r="A5" s="5" t="inlineStr">
        <is>
          <t>m200k_NG-51-10･16_u005</t>
        </is>
      </c>
      <c r="B5" s="6" t="inlineStr">
        <is>
          <t>col_4</t>
        </is>
      </c>
      <c r="C5" s="6" t="n">
        <v>1</v>
      </c>
      <c r="D5" s="7" t="inlineStr">
        <is>
          <t>Holocene Sedimentary (Uotsurijima Quaternary)</t>
        </is>
      </c>
      <c r="E5" s="5" t="inlineStr">
        <is>
          <t>Uotsurijima Quaternary Basin &amp; Terrace Deposits</t>
        </is>
      </c>
      <c r="F5" s="6" t="inlineStr">
        <is>
          <t>Holocene</t>
        </is>
      </c>
      <c r="G5" s="8" t="n">
        <v>0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alluvial fan</t>
        </is>
      </c>
      <c r="O5" s="5" t="inlineStr">
        <is>
          <t>Cenozoic Quaternary late Late Pleistocene - Holocene; fan or talus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Q33-H_sfd</t>
        </is>
      </c>
      <c r="U5" s="5" t="inlineStr"/>
      <c r="V5" s="10" t="inlineStr">
        <is>
          <t>Q33-H_sfd</t>
        </is>
      </c>
      <c r="W5" s="10" t="inlineStr">
        <is>
          <t>新生代 第四紀 後期更新世後期〜完新世</t>
        </is>
      </c>
      <c r="X5" s="10" t="inlineStr">
        <is>
          <t>Cenozoic Quaternary late Late Pleistocene - Holocene</t>
        </is>
      </c>
      <c r="Y5" s="10" t="inlineStr">
        <is>
          <t>扇状地・崖錐堆積物</t>
        </is>
      </c>
      <c r="Z5" s="10" t="inlineStr">
        <is>
          <t>fan or talus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m200k_NG-51-10･16_u004</t>
        </is>
      </c>
      <c r="B6" s="6" t="inlineStr">
        <is>
          <t>col_4</t>
        </is>
      </c>
      <c r="C6" s="6" t="n">
        <v>2</v>
      </c>
      <c r="D6" s="7" t="inlineStr">
        <is>
          <t>Holocene Limestone (Uotsurijima Quaternary)</t>
        </is>
      </c>
      <c r="E6" s="5" t="inlineStr">
        <is>
          <t>Uotsurijima Quaternary Basin &amp; Terrace Deposits</t>
        </is>
      </c>
      <c r="F6" s="6" t="inlineStr">
        <is>
          <t>Holocene</t>
        </is>
      </c>
      <c r="G6" s="8" t="n">
        <v>0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Holocene</t>
        </is>
      </c>
      <c r="J6" s="8" t="n">
        <v>0.0117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limestone</t>
        </is>
      </c>
      <c r="M6" s="5" t="inlineStr"/>
      <c r="N6" s="5" t="inlineStr">
        <is>
          <t>marine</t>
        </is>
      </c>
      <c r="O6" s="5" t="inlineStr">
        <is>
          <t>Cenozoic Quaternary late Holocene; marine limestone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H2_sol</t>
        </is>
      </c>
      <c r="U6" s="5" t="inlineStr"/>
      <c r="V6" s="10" t="inlineStr">
        <is>
          <t>H2_sol</t>
        </is>
      </c>
      <c r="W6" s="10" t="inlineStr">
        <is>
          <t>新生代 第四紀 後期完新世</t>
        </is>
      </c>
      <c r="X6" s="10" t="inlineStr">
        <is>
          <t>Cenozoic Quaternary late Holocene</t>
        </is>
      </c>
      <c r="Y6" s="10" t="inlineStr">
        <is>
          <t>海成層 石灰岩</t>
        </is>
      </c>
      <c r="Z6" s="10" t="inlineStr">
        <is>
          <t>marine limestone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</sheetData>
  <autoFilter ref="A1:A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Uotsurijima (Quaternary Volcanic Arc) Column</t>
        </is>
      </c>
      <c r="C2" s="11" t="inlineStr">
        <is>
          <t>GSJ_200K_NG_51_10･16_Quaternary_Volcanic_Arc</t>
        </is>
      </c>
      <c r="D2" s="11" t="inlineStr">
        <is>
          <t>Quaternary Volcanic Arc</t>
        </is>
      </c>
      <c r="E2" s="11" t="inlineStr">
        <is>
          <t>Pleistocene</t>
        </is>
      </c>
      <c r="F2" s="11" t="inlineStr">
        <is>
          <t>Pleistocene</t>
        </is>
      </c>
      <c r="G2" s="11" t="n">
        <v>0</v>
      </c>
      <c r="H2" s="11" t="n">
        <v>1</v>
      </c>
      <c r="I2" s="11" t="inlineStr">
        <is>
          <t>POLYGON((123.0 25.5, 124.0 25.5, 124.0 26.0, 123.0 26.0, 123.0 25.5))</t>
        </is>
      </c>
      <c r="J2" s="11" t="inlineStr">
        <is>
          <t>POINT(123.5 25.75)</t>
        </is>
      </c>
      <c r="K2" s="11" t="inlineStr">
        <is>
          <t>GSJ 200k Tectonic Skeleton: Quaternary Volcanic Arc in 魚釣島 (NG-51-10･16)</t>
        </is>
      </c>
    </row>
    <row r="3">
      <c r="A3" s="11" t="inlineStr">
        <is>
          <t>col_2</t>
        </is>
      </c>
      <c r="B3" s="11" t="inlineStr">
        <is>
          <t>Uotsurijima (Neogene-Paleogene Volcanic Complex) Column</t>
        </is>
      </c>
      <c r="C3" s="11" t="inlineStr">
        <is>
          <t>GSJ_200K_NG_51_10･16_Neogene-Paleogene_Volcanic_Complex</t>
        </is>
      </c>
      <c r="D3" s="11" t="inlineStr">
        <is>
          <t>Neogene-Paleogene Volcanic Complex</t>
        </is>
      </c>
      <c r="E3" s="11" t="inlineStr">
        <is>
          <t>Langhian</t>
        </is>
      </c>
      <c r="F3" s="11" t="inlineStr">
        <is>
          <t>Tortonian</t>
        </is>
      </c>
      <c r="G3" s="11" t="n">
        <v>0</v>
      </c>
      <c r="H3" s="11" t="n">
        <v>1</v>
      </c>
      <c r="I3" s="11" t="inlineStr">
        <is>
          <t>POLYGON((123.0 25.5, 124.0 25.5, 124.0 26.0, 123.0 26.0, 123.0 25.5))</t>
        </is>
      </c>
      <c r="J3" s="11" t="inlineStr">
        <is>
          <t>POINT(123.5 25.75)</t>
        </is>
      </c>
      <c r="K3" s="11" t="inlineStr">
        <is>
          <t>GSJ 200k Tectonic Skeleton: Neogene-Paleogene Volcanic Complex in 魚釣島 (NG-51-10･16)</t>
        </is>
      </c>
    </row>
    <row r="4">
      <c r="A4" s="11" t="inlineStr">
        <is>
          <t>col_3</t>
        </is>
      </c>
      <c r="B4" s="11" t="inlineStr">
        <is>
          <t>Uotsurijima (Neogene Sedimentary Basin) Column</t>
        </is>
      </c>
      <c r="C4" s="11" t="inlineStr">
        <is>
          <t>GSJ_200K_NG_51_10･16_Neogene_Sedimentary_Basin</t>
        </is>
      </c>
      <c r="D4" s="11" t="inlineStr">
        <is>
          <t>Neogene Sedimentary Basin</t>
        </is>
      </c>
      <c r="E4" s="11" t="inlineStr">
        <is>
          <t>Burdigalian</t>
        </is>
      </c>
      <c r="F4" s="11" t="inlineStr">
        <is>
          <t>Langhian</t>
        </is>
      </c>
      <c r="G4" s="11" t="n">
        <v>0</v>
      </c>
      <c r="H4" s="11" t="n">
        <v>1</v>
      </c>
      <c r="I4" s="11" t="inlineStr">
        <is>
          <t>POLYGON((123.0 25.5, 124.0 25.5, 124.0 26.0, 123.0 26.0, 123.0 25.5))</t>
        </is>
      </c>
      <c r="J4" s="11" t="inlineStr">
        <is>
          <t>POINT(123.5 25.75)</t>
        </is>
      </c>
      <c r="K4" s="11" t="inlineStr">
        <is>
          <t>GSJ 200k Tectonic Skeleton: Neogene Sedimentary Basin in 魚釣島 (NG-51-10･16)</t>
        </is>
      </c>
    </row>
    <row r="5">
      <c r="A5" s="11" t="inlineStr">
        <is>
          <t>col_4</t>
        </is>
      </c>
      <c r="B5" s="11" t="inlineStr">
        <is>
          <t>Uotsurijima (Quaternary Basin &amp; Terrace Deposits) Column</t>
        </is>
      </c>
      <c r="C5" s="11" t="inlineStr">
        <is>
          <t>GSJ_200K_NG_51_10･16_Quaternary_Basin_and_Terrace_Deposits</t>
        </is>
      </c>
      <c r="D5" s="11" t="inlineStr">
        <is>
          <t>Quaternary Basin &amp; Terrace Deposits</t>
        </is>
      </c>
      <c r="E5" s="11" t="inlineStr">
        <is>
          <t>Pleistocene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POLYGON((123.0 25.5, 124.0 25.5, 124.0 26.0, 123.0 26.0, 123.0 25.5))</t>
        </is>
      </c>
      <c r="J5" s="11" t="inlineStr">
        <is>
          <t>POINT(123.5 25.75)</t>
        </is>
      </c>
      <c r="K5" s="11" t="inlineStr">
        <is>
          <t>GSJ 200k Tectonic Skeleton: Quaternary Basin &amp; Terrace Deposits in 魚釣島 (NG-51-10･16)</t>
        </is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魚釣島 (Uotsurijima)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2008</t>
        </is>
      </c>
      <c r="H2" s="11" t="inlineStr"/>
      <c r="I2" s="11" t="inlineStr">
        <is>
          <t>https://www.gsj.jp/Map/JP/geology2.html</t>
        </is>
      </c>
      <c r="J2" s="11" t="inlineStr">
        <is>
          <t>IMW Sheet NG-51-10･16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GSJ_200K_NG_51_10･16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NG-51-10･16</t>
        </is>
      </c>
    </row>
    <row r="3">
      <c r="A3" s="11" t="inlineStr">
        <is>
          <t>name_ja</t>
        </is>
      </c>
      <c r="B3" s="11" t="inlineStr">
        <is>
          <t>魚釣島</t>
        </is>
      </c>
    </row>
    <row r="4">
      <c r="A4" s="11" t="inlineStr">
        <is>
          <t>name_en</t>
        </is>
      </c>
      <c r="B4" s="11" t="inlineStr">
        <is>
          <t>Uotsurijima</t>
        </is>
      </c>
    </row>
    <row r="5">
      <c r="A5" s="11" t="inlineStr">
        <is>
          <t>region</t>
        </is>
      </c>
      <c r="B5" s="11" t="inlineStr">
        <is>
          <t>07_南西諸島</t>
        </is>
      </c>
    </row>
    <row r="6">
      <c r="A6" s="11" t="inlineStr">
        <is>
          <t>pub_year</t>
        </is>
      </c>
      <c r="B6" s="11" t="inlineStr">
        <is>
          <t>2008</t>
        </is>
      </c>
    </row>
    <row r="7">
      <c r="A7" s="11" t="inlineStr">
        <is>
          <t>bbox</t>
        </is>
      </c>
      <c r="B7" s="11" t="inlineStr">
        <is>
          <t>[25.5, 123.0, 26.0, 124.0]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m200k_NG-51-10･16_u001</t>
        </is>
      </c>
      <c r="B2" s="11" t="inlineStr">
        <is>
          <t>Pleistocene Basalt (Uotsurijima Quaternary)</t>
        </is>
      </c>
      <c r="C2" s="11" t="inlineStr">
        <is>
          <t>新生代 第四紀 後期更新世 玄武岩 溶岩・火砕岩</t>
        </is>
      </c>
      <c r="D2" s="11" t="inlineStr">
        <is>
          <t>新生代 第四紀 後期更新世（Cenozoic Quaternary Late Pleistocene）に形成された玄武岩 溶岩・火砕岩（basalt lava &amp; pyroclastic rocks）。産総研シームレス地質図V2凡例記号: Q3_vbs_al</t>
        </is>
      </c>
    </row>
    <row r="3">
      <c r="A3" s="11" t="inlineStr">
        <is>
          <t>m200k_NG-51-10･16_u002</t>
        </is>
      </c>
      <c r="B3" s="11" t="inlineStr">
        <is>
          <t>Tortonian Andesite (Uotsurijima Neogene-Paleogene)</t>
        </is>
      </c>
      <c r="C3" s="11" t="inlineStr">
        <is>
          <t>新生代 新第三紀 中新世 後期ランギアン期〜トートニアン期 安山岩・玄武岩質安山岩 貫入岩</t>
        </is>
      </c>
      <c r="D3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4">
      <c r="A4" s="11" t="inlineStr">
        <is>
          <t>m200k_NG-51-10･16_u003</t>
        </is>
      </c>
      <c r="B4" s="11" t="inlineStr">
        <is>
          <t>Langhian Conglomerate (Uotsurijima Neogene)</t>
        </is>
      </c>
      <c r="C4" s="11" t="inlineStr">
        <is>
          <t>新生代 新第三紀 中新世 バーディガリアン期〜前期ランギアン期 海成層 礫岩</t>
        </is>
      </c>
      <c r="D4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5">
      <c r="A5" s="11" t="inlineStr">
        <is>
          <t>m200k_NG-51-10･16_u004</t>
        </is>
      </c>
      <c r="B5" s="11" t="inlineStr">
        <is>
          <t>Holocene Limestone (Uotsurijima Quaternary)</t>
        </is>
      </c>
      <c r="C5" s="11" t="inlineStr">
        <is>
          <t>新生代 第四紀 後期完新世 海成層 石灰岩</t>
        </is>
      </c>
      <c r="D5" s="11" t="inlineStr">
        <is>
          <t>新生代 第四紀 後期完新世（Cenozoic Quaternary late Holocene）に形成された海成層 石灰岩（marine limestone）。産総研シームレス地質図V2凡例記号: H2_sol</t>
        </is>
      </c>
    </row>
    <row r="6">
      <c r="A6" s="11" t="inlineStr">
        <is>
          <t>m200k_NG-51-10･16_u005</t>
        </is>
      </c>
      <c r="B6" s="11" t="inlineStr">
        <is>
          <t>Holocene Sedimentary (Uotsurijima Quaternary)</t>
        </is>
      </c>
      <c r="C6" s="11" t="inlineStr">
        <is>
          <t>新生代 第四紀 後期更新世後期〜完新世 扇状地・崖錐堆積物</t>
        </is>
      </c>
      <c r="D6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2026-08-14T03:40:56Z</dcterms:created>
  <dcterms:modified xmlns:dcterms="http://purl.org/dc/terms/" xmlns:xsi="http://www.w3.org/2001/XMLSchema-instance" xsi:type="dcterms:W3CDTF">2026-08-14T03:40:56Z</dcterms:modified>
</cp:coreProperties>
</file>