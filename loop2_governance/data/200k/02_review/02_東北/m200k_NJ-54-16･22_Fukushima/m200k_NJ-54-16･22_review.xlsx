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'units_review'!$A$1:$AC$79</definedName>
    <definedName name="_xlnm._FilterDatabase" localSheetId="2" hidden="1">'columns_review'!$A$1:$K$11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m200k_NJ-54-16･22_u002</t>
        </is>
      </c>
      <c r="B2" s="6" t="inlineStr">
        <is>
          <t>col_1</t>
        </is>
      </c>
      <c r="C2" s="6" t="n">
        <v>1</v>
      </c>
      <c r="D2" s="7" t="inlineStr">
        <is>
          <t>Pleistocene Gravel (Fukushima Quaternary)</t>
        </is>
      </c>
      <c r="E2" s="5" t="inlineStr">
        <is>
          <t>Fukushima Quaternary Basin &amp; Terrace Deposits</t>
        </is>
      </c>
      <c r="F2" s="6" t="inlineStr">
        <is>
          <t>Pleistocene</t>
        </is>
      </c>
      <c r="G2" s="8" t="n">
        <v>0.0117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Pleistocene</t>
        </is>
      </c>
      <c r="J2" s="8" t="n">
        <v>2.58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gravel</t>
        </is>
      </c>
      <c r="M2" s="5" t="inlineStr"/>
      <c r="N2" s="5" t="inlineStr">
        <is>
          <t>unknown</t>
        </is>
      </c>
      <c r="O2" s="5" t="inlineStr">
        <is>
          <t>Cenozoic Quaternary middle Late Pleistocene - late Late Pleistocene; terrace deposits [Quaternary Basin &amp; Terrace Deposits]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Q32-33_std</t>
        </is>
      </c>
      <c r="U2" s="5" t="inlineStr"/>
      <c r="V2" s="10" t="inlineStr">
        <is>
          <t>Q32-33_std</t>
        </is>
      </c>
      <c r="W2" s="10" t="inlineStr">
        <is>
          <t>新生代 第四紀 後期更新世中期〜後期更新世後期</t>
        </is>
      </c>
      <c r="X2" s="10" t="inlineStr">
        <is>
          <t>Cenozoic Quaternary middle Late Pleistocene - late Late Pleistocene</t>
        </is>
      </c>
      <c r="Y2" s="10" t="inlineStr">
        <is>
          <t>段丘堆積物</t>
        </is>
      </c>
      <c r="Z2" s="10" t="inlineStr">
        <is>
          <t>terrace deposits</t>
        </is>
      </c>
      <c r="AA2" s="10" t="inlineStr">
        <is>
          <t>堆積岩</t>
        </is>
      </c>
      <c r="AB2" s="10" t="inlineStr">
        <is>
          <t>Sedimentary rocks</t>
        </is>
      </c>
      <c r="AC2" s="10" t="inlineStr">
        <is>
          <t>Quaternary Basin &amp; Terrace Deposits</t>
        </is>
      </c>
    </row>
    <row r="3">
      <c r="A3" s="5" t="inlineStr">
        <is>
          <t>m200k_NJ-54-16･22_u003</t>
        </is>
      </c>
      <c r="B3" s="6" t="inlineStr">
        <is>
          <t>col_1</t>
        </is>
      </c>
      <c r="C3" s="6" t="n">
        <v>2</v>
      </c>
      <c r="D3" s="7" t="inlineStr">
        <is>
          <t>Pleistocene Sedimentary (Fukushima Quaternary)</t>
        </is>
      </c>
      <c r="E3" s="5" t="inlineStr">
        <is>
          <t>Fukushima Quaternary Basin &amp; Terrace Deposits</t>
        </is>
      </c>
      <c r="F3" s="6" t="inlineStr">
        <is>
          <t>Pleistocene</t>
        </is>
      </c>
      <c r="G3" s="8" t="n">
        <v>0.0117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Gelasian</t>
        </is>
      </c>
      <c r="J3" s="8" t="n">
        <v>2.58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sedimentary</t>
        </is>
      </c>
      <c r="M3" s="5" t="inlineStr"/>
      <c r="N3" s="5" t="inlineStr">
        <is>
          <t>marine</t>
        </is>
      </c>
      <c r="O3" s="5" t="inlineStr">
        <is>
          <t>Cenozoic Quaternary Pleistocene Gelasian - early Middle Pleistocene; non-marine sediments [Quaternary Basin &amp; Terrace Deposits]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Q1-21_sn</t>
        </is>
      </c>
      <c r="U3" s="5" t="inlineStr"/>
      <c r="V3" s="10" t="inlineStr">
        <is>
          <t>Q1-21_sn</t>
        </is>
      </c>
      <c r="W3" s="10" t="inlineStr">
        <is>
          <t>新生代 第四紀 更新世 ジェラシアン期〜前期チバニアン期</t>
        </is>
      </c>
      <c r="X3" s="10" t="inlineStr">
        <is>
          <t>Cenozoic Quaternary Pleistocene Gelasian - early Middle Pleistocene</t>
        </is>
      </c>
      <c r="Y3" s="10" t="inlineStr">
        <is>
          <t>非海成層</t>
        </is>
      </c>
      <c r="Z3" s="10" t="inlineStr">
        <is>
          <t>non-marine sediments</t>
        </is>
      </c>
      <c r="AA3" s="10" t="inlineStr">
        <is>
          <t>堆積岩</t>
        </is>
      </c>
      <c r="AB3" s="10" t="inlineStr">
        <is>
          <t>Sedimentary rocks</t>
        </is>
      </c>
      <c r="AC3" s="10" t="inlineStr">
        <is>
          <t>Quaternary Basin &amp; Terrace Deposits</t>
        </is>
      </c>
    </row>
    <row r="4">
      <c r="A4" s="5" t="inlineStr">
        <is>
          <t>m200k_NJ-54-16･22_u004</t>
        </is>
      </c>
      <c r="B4" s="6" t="inlineStr">
        <is>
          <t>col_1</t>
        </is>
      </c>
      <c r="C4" s="6" t="n">
        <v>3</v>
      </c>
      <c r="D4" s="7" t="inlineStr">
        <is>
          <t>Pleistocene Volcanic (Fukushima Quaternary)</t>
        </is>
      </c>
      <c r="E4" s="5" t="inlineStr">
        <is>
          <t>Fukushima Quaternary Basin &amp; Terrace Deposits</t>
        </is>
      </c>
      <c r="F4" s="6" t="inlineStr">
        <is>
          <t>Pleistocene</t>
        </is>
      </c>
      <c r="G4" s="8" t="n">
        <v>0.0117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Pleistocene</t>
        </is>
      </c>
      <c r="J4" s="8" t="n">
        <v>2.58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volcanic</t>
        </is>
      </c>
      <c r="M4" s="5" t="inlineStr"/>
      <c r="N4" s="5" t="inlineStr">
        <is>
          <t>volcanic</t>
        </is>
      </c>
      <c r="O4" s="5" t="inlineStr">
        <is>
          <t>Cenozoic Quaternary Late Pleistocene; volcanic rocks debris avalanche deposits [Quaternary Basin &amp; Terrace Deposits]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Q3_v_ad</t>
        </is>
      </c>
      <c r="U4" s="5" t="inlineStr"/>
      <c r="V4" s="10" t="inlineStr">
        <is>
          <t>Q3_v_ad</t>
        </is>
      </c>
      <c r="W4" s="10" t="inlineStr">
        <is>
          <t>新生代 第四紀 後期更新世</t>
        </is>
      </c>
      <c r="X4" s="10" t="inlineStr">
        <is>
          <t>Cenozoic Quaternary Late Pleistocene</t>
        </is>
      </c>
      <c r="Y4" s="10" t="inlineStr">
        <is>
          <t>火山岩 岩屑なだれ堆積物</t>
        </is>
      </c>
      <c r="Z4" s="10" t="inlineStr">
        <is>
          <t>volcanic rocks debris avalanche deposits</t>
        </is>
      </c>
      <c r="AA4" s="10" t="inlineStr">
        <is>
          <t>火成岩</t>
        </is>
      </c>
      <c r="AB4" s="10" t="inlineStr">
        <is>
          <t>Igneous rocks</t>
        </is>
      </c>
      <c r="AC4" s="10" t="inlineStr">
        <is>
          <t>Quaternary Basin &amp; Terrace Deposits</t>
        </is>
      </c>
    </row>
    <row r="5">
      <c r="A5" s="5" t="inlineStr">
        <is>
          <t>m200k_NJ-54-16･22_u008</t>
        </is>
      </c>
      <c r="B5" s="6" t="inlineStr">
        <is>
          <t>col_1</t>
        </is>
      </c>
      <c r="C5" s="6" t="n">
        <v>4</v>
      </c>
      <c r="D5" s="7" t="inlineStr">
        <is>
          <t>Pleistocene Gravel (Fukushima Quaternary)</t>
        </is>
      </c>
      <c r="E5" s="5" t="inlineStr">
        <is>
          <t>Fukushima Quaternary Basin &amp; Terrace Deposits</t>
        </is>
      </c>
      <c r="F5" s="6" t="inlineStr">
        <is>
          <t>Pleistocene</t>
        </is>
      </c>
      <c r="G5" s="8" t="n">
        <v>0.0117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Pleistocene</t>
        </is>
      </c>
      <c r="J5" s="8" t="n">
        <v>2.58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gravel</t>
        </is>
      </c>
      <c r="M5" s="5" t="inlineStr"/>
      <c r="N5" s="5" t="inlineStr">
        <is>
          <t>unknown</t>
        </is>
      </c>
      <c r="O5" s="5" t="inlineStr">
        <is>
          <t>Cenozoic Quaternary early Late Pleistocene; terrace deposits [Quaternary Basin &amp; Terrace Deposits]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Q31_std</t>
        </is>
      </c>
      <c r="U5" s="5" t="inlineStr"/>
      <c r="V5" s="10" t="inlineStr">
        <is>
          <t>Q31_std</t>
        </is>
      </c>
      <c r="W5" s="10" t="inlineStr">
        <is>
          <t>新生代 第四紀 後期更新世前期</t>
        </is>
      </c>
      <c r="X5" s="10" t="inlineStr">
        <is>
          <t>Cenozoic Quaternary early Late Pleistocene</t>
        </is>
      </c>
      <c r="Y5" s="10" t="inlineStr">
        <is>
          <t>段丘堆積物</t>
        </is>
      </c>
      <c r="Z5" s="10" t="inlineStr">
        <is>
          <t>terrace deposits</t>
        </is>
      </c>
      <c r="AA5" s="10" t="inlineStr">
        <is>
          <t>堆積岩</t>
        </is>
      </c>
      <c r="AB5" s="10" t="inlineStr">
        <is>
          <t>Sedimentary rocks</t>
        </is>
      </c>
      <c r="AC5" s="10" t="inlineStr">
        <is>
          <t>Quaternary Basin &amp; Terrace Deposits</t>
        </is>
      </c>
    </row>
    <row r="6">
      <c r="A6" s="5" t="inlineStr">
        <is>
          <t>m200k_NJ-54-16･22_u009</t>
        </is>
      </c>
      <c r="B6" s="6" t="inlineStr">
        <is>
          <t>col_1</t>
        </is>
      </c>
      <c r="C6" s="6" t="n">
        <v>5</v>
      </c>
      <c r="D6" s="7" t="inlineStr">
        <is>
          <t>Pleistocene Gravel (Fukushima Quaternary)</t>
        </is>
      </c>
      <c r="E6" s="5" t="inlineStr">
        <is>
          <t>Fukushima Quaternary Basin &amp; Terrace Deposits</t>
        </is>
      </c>
      <c r="F6" s="6" t="inlineStr">
        <is>
          <t>Pleistocene</t>
        </is>
      </c>
      <c r="G6" s="8" t="n">
        <v>0.0117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Pleistocene</t>
        </is>
      </c>
      <c r="J6" s="8" t="n">
        <v>2.58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gravel</t>
        </is>
      </c>
      <c r="M6" s="5" t="inlineStr"/>
      <c r="N6" s="5" t="inlineStr">
        <is>
          <t>unknown</t>
        </is>
      </c>
      <c r="O6" s="5" t="inlineStr">
        <is>
          <t>Cenozoic Quaternary late Middle Pleistocene; terrace deposits [Quaternary Basin &amp; Terrace Deposits]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Q22_std</t>
        </is>
      </c>
      <c r="U6" s="5" t="inlineStr"/>
      <c r="V6" s="10" t="inlineStr">
        <is>
          <t>Q22_std</t>
        </is>
      </c>
      <c r="W6" s="10" t="inlineStr">
        <is>
          <t>新生代 第四紀 後期チバニアン期</t>
        </is>
      </c>
      <c r="X6" s="10" t="inlineStr">
        <is>
          <t>Cenozoic Quaternary late Middle Pleistocene</t>
        </is>
      </c>
      <c r="Y6" s="10" t="inlineStr">
        <is>
          <t>段丘堆積物</t>
        </is>
      </c>
      <c r="Z6" s="10" t="inlineStr">
        <is>
          <t>terrace deposits</t>
        </is>
      </c>
      <c r="AA6" s="10" t="inlineStr">
        <is>
          <t>堆積岩</t>
        </is>
      </c>
      <c r="AB6" s="10" t="inlineStr">
        <is>
          <t>Sedimentary rocks</t>
        </is>
      </c>
      <c r="AC6" s="10" t="inlineStr">
        <is>
          <t>Quaternary Basin &amp; Terrace Deposits</t>
        </is>
      </c>
    </row>
    <row r="7">
      <c r="A7" s="5" t="inlineStr">
        <is>
          <t>m200k_NJ-54-16･22_u012</t>
        </is>
      </c>
      <c r="B7" s="6" t="inlineStr">
        <is>
          <t>col_1</t>
        </is>
      </c>
      <c r="C7" s="6" t="n">
        <v>6</v>
      </c>
      <c r="D7" s="7" t="inlineStr">
        <is>
          <t>Pleistocene Volcanic (Fukushima Quaternary)</t>
        </is>
      </c>
      <c r="E7" s="5" t="inlineStr">
        <is>
          <t>Fukushima Quaternary Basin &amp; Terrace Deposits</t>
        </is>
      </c>
      <c r="F7" s="6" t="inlineStr">
        <is>
          <t>Pleistocene</t>
        </is>
      </c>
      <c r="G7" s="8" t="n">
        <v>0.0117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Pleistocene</t>
        </is>
      </c>
      <c r="J7" s="8" t="n">
        <v>2.58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volcanic</t>
        </is>
      </c>
      <c r="M7" s="5" t="inlineStr"/>
      <c r="N7" s="5" t="inlineStr">
        <is>
          <t>volcanic</t>
        </is>
      </c>
      <c r="O7" s="5" t="inlineStr">
        <is>
          <t>Cenozoic Quaternary Middle Pleistocene; volcanic rocks debris avalanche deposits [Quaternary Basin &amp; Terrace Deposits]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Q2_v_ad</t>
        </is>
      </c>
      <c r="U7" s="5" t="inlineStr"/>
      <c r="V7" s="10" t="inlineStr">
        <is>
          <t>Q2_v_ad</t>
        </is>
      </c>
      <c r="W7" s="10" t="inlineStr">
        <is>
          <t>新生代 第四紀 チバニアン期</t>
        </is>
      </c>
      <c r="X7" s="10" t="inlineStr">
        <is>
          <t>Cenozoic Quaternary Middle Pleistocene</t>
        </is>
      </c>
      <c r="Y7" s="10" t="inlineStr">
        <is>
          <t>火山岩 岩屑なだれ堆積物</t>
        </is>
      </c>
      <c r="Z7" s="10" t="inlineStr">
        <is>
          <t>volcanic rocks debris avalanche deposits</t>
        </is>
      </c>
      <c r="AA7" s="10" t="inlineStr">
        <is>
          <t>火成岩</t>
        </is>
      </c>
      <c r="AB7" s="10" t="inlineStr">
        <is>
          <t>Igneous rocks</t>
        </is>
      </c>
      <c r="AC7" s="10" t="inlineStr">
        <is>
          <t>Quaternary Basin &amp; Terrace Deposits</t>
        </is>
      </c>
    </row>
    <row r="8">
      <c r="A8" s="5" t="inlineStr">
        <is>
          <t>m200k_NJ-54-16･22_u006</t>
        </is>
      </c>
      <c r="B8" s="6" t="inlineStr">
        <is>
          <t>col_1</t>
        </is>
      </c>
      <c r="C8" s="6" t="n">
        <v>7</v>
      </c>
      <c r="D8" s="7" t="inlineStr">
        <is>
          <t>Holocene Sedimentary (Fukushima Quaternary)</t>
        </is>
      </c>
      <c r="E8" s="5" t="inlineStr">
        <is>
          <t>Fukushima Quaternary Basin &amp; Terrace Deposits</t>
        </is>
      </c>
      <c r="F8" s="6" t="inlineStr">
        <is>
          <t>Holocene</t>
        </is>
      </c>
      <c r="G8" s="8" t="n">
        <v>0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Pleistocene</t>
        </is>
      </c>
      <c r="J8" s="8" t="n">
        <v>2.58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sedimentary</t>
        </is>
      </c>
      <c r="M8" s="5" t="inlineStr"/>
      <c r="N8" s="5" t="inlineStr">
        <is>
          <t>alluvial fan</t>
        </is>
      </c>
      <c r="O8" s="5" t="inlineStr">
        <is>
          <t>Cenozoic Quaternary late Late Pleistocene - Holocene; fan or talus deposits [Quaternary Basin &amp; Terrace Deposits]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Q33-H_sfd</t>
        </is>
      </c>
      <c r="U8" s="5" t="inlineStr"/>
      <c r="V8" s="10" t="inlineStr">
        <is>
          <t>Q33-H_sfd</t>
        </is>
      </c>
      <c r="W8" s="10" t="inlineStr">
        <is>
          <t>新生代 第四紀 後期更新世後期〜完新世</t>
        </is>
      </c>
      <c r="X8" s="10" t="inlineStr">
        <is>
          <t>Cenozoic Quaternary late Late Pleistocene - Holocene</t>
        </is>
      </c>
      <c r="Y8" s="10" t="inlineStr">
        <is>
          <t>扇状地・崖錐堆積物</t>
        </is>
      </c>
      <c r="Z8" s="10" t="inlineStr">
        <is>
          <t>fan or talus deposits</t>
        </is>
      </c>
      <c r="AA8" s="10" t="inlineStr">
        <is>
          <t>堆積岩</t>
        </is>
      </c>
      <c r="AB8" s="10" t="inlineStr">
        <is>
          <t>Sedimentary rocks</t>
        </is>
      </c>
      <c r="AC8" s="10" t="inlineStr">
        <is>
          <t>Quaternary Basin &amp; Terrace Deposits</t>
        </is>
      </c>
    </row>
    <row r="9">
      <c r="A9" s="5" t="inlineStr">
        <is>
          <t>m200k_NJ-54-16･22_u010</t>
        </is>
      </c>
      <c r="B9" s="6" t="inlineStr">
        <is>
          <t>col_1</t>
        </is>
      </c>
      <c r="C9" s="6" t="n">
        <v>8</v>
      </c>
      <c r="D9" s="7" t="inlineStr">
        <is>
          <t>Holocene Sedimentary (Fukushima Quaternary)</t>
        </is>
      </c>
      <c r="E9" s="5" t="inlineStr">
        <is>
          <t>Fukushima Quaternary Basin &amp; Terrace Deposits</t>
        </is>
      </c>
      <c r="F9" s="6" t="inlineStr">
        <is>
          <t>Holocene</t>
        </is>
      </c>
      <c r="G9" s="8" t="n">
        <v>0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Pleistocene</t>
        </is>
      </c>
      <c r="J9" s="8" t="n">
        <v>2.58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sedimentary</t>
        </is>
      </c>
      <c r="M9" s="5" t="inlineStr"/>
      <c r="N9" s="5" t="inlineStr">
        <is>
          <t>unknown</t>
        </is>
      </c>
      <c r="O9" s="5" t="inlineStr">
        <is>
          <t>Cenozoic Quaternary late Middle Pleistocene - Holocene; landslide deposits [Quaternary Basin &amp; Terrace Deposits]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Q22-H_sdd</t>
        </is>
      </c>
      <c r="U9" s="5" t="inlineStr"/>
      <c r="V9" s="10" t="inlineStr">
        <is>
          <t>Q22-H_sdd</t>
        </is>
      </c>
      <c r="W9" s="10" t="inlineStr">
        <is>
          <t>新生代 第四紀 後期チバニアン期〜完新世</t>
        </is>
      </c>
      <c r="X9" s="10" t="inlineStr">
        <is>
          <t>Cenozoic Quaternary late Middle Pleistocene - Holocene</t>
        </is>
      </c>
      <c r="Y9" s="10" t="inlineStr">
        <is>
          <t>地すべり堆積物</t>
        </is>
      </c>
      <c r="Z9" s="10" t="inlineStr">
        <is>
          <t>landslide deposits</t>
        </is>
      </c>
      <c r="AA9" s="10" t="inlineStr">
        <is>
          <t>堆積岩</t>
        </is>
      </c>
      <c r="AB9" s="10" t="inlineStr">
        <is>
          <t>Sedimentary rocks</t>
        </is>
      </c>
      <c r="AC9" s="10" t="inlineStr">
        <is>
          <t>Quaternary Basin &amp; Terrace Deposits</t>
        </is>
      </c>
    </row>
    <row r="10">
      <c r="A10" s="5" t="inlineStr">
        <is>
          <t>m200k_NJ-54-16･22_u001</t>
        </is>
      </c>
      <c r="B10" s="6" t="inlineStr">
        <is>
          <t>col_1</t>
        </is>
      </c>
      <c r="C10" s="6" t="n">
        <v>9</v>
      </c>
      <c r="D10" s="7" t="inlineStr">
        <is>
          <t>Holocene Sedimentary (Fukushima Quaternary)</t>
        </is>
      </c>
      <c r="E10" s="5" t="inlineStr">
        <is>
          <t>Fukushima Quaternary Basin &amp; Terrace Deposits</t>
        </is>
      </c>
      <c r="F10" s="6" t="inlineStr">
        <is>
          <t>Holocene</t>
        </is>
      </c>
      <c r="G10" s="8" t="n">
        <v>0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Holocene</t>
        </is>
      </c>
      <c r="J10" s="8" t="n">
        <v>0.0117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sedimentary</t>
        </is>
      </c>
      <c r="M10" s="5" t="inlineStr"/>
      <c r="N10" s="5" t="inlineStr">
        <is>
          <t>fluvial</t>
        </is>
      </c>
      <c r="O10" s="5" t="inlineStr">
        <is>
          <t>Cenozoic Quaternary Holocene; valley floor, intermountain basin, river &amp;  coastal plain deposits [Quaternary Basin &amp; Terrace Deposits]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H_sad</t>
        </is>
      </c>
      <c r="U10" s="5" t="inlineStr"/>
      <c r="V10" s="10" t="inlineStr">
        <is>
          <t>H_sad</t>
        </is>
      </c>
      <c r="W10" s="10" t="inlineStr">
        <is>
          <t>新生代 第四紀 完新世</t>
        </is>
      </c>
      <c r="X10" s="10" t="inlineStr">
        <is>
          <t>Cenozoic Quaternary Holocene</t>
        </is>
      </c>
      <c r="Y10" s="10" t="inlineStr">
        <is>
          <t>谷底平野・山間盆地・河川・海岸平野堆積物</t>
        </is>
      </c>
      <c r="Z10" s="10" t="inlineStr">
        <is>
          <t>valley floor, intermountain basin, river &amp;  coastal plain deposits</t>
        </is>
      </c>
      <c r="AA10" s="10" t="inlineStr">
        <is>
          <t>堆積岩</t>
        </is>
      </c>
      <c r="AB10" s="10" t="inlineStr">
        <is>
          <t>Sedimentary rocks</t>
        </is>
      </c>
      <c r="AC10" s="10" t="inlineStr">
        <is>
          <t>Quaternary Basin &amp; Terrace Deposits</t>
        </is>
      </c>
    </row>
    <row r="11">
      <c r="A11" s="5" t="inlineStr">
        <is>
          <t>m200k_NJ-54-16･22_u005</t>
        </is>
      </c>
      <c r="B11" s="6" t="inlineStr">
        <is>
          <t>col_1</t>
        </is>
      </c>
      <c r="C11" s="6" t="n">
        <v>10</v>
      </c>
      <c r="D11" s="7" t="inlineStr">
        <is>
          <t>Holocene Sedimentary (Fukushima Quaternary)</t>
        </is>
      </c>
      <c r="E11" s="5" t="inlineStr">
        <is>
          <t>Fukushima Quaternary Basin &amp; Terrace Deposits</t>
        </is>
      </c>
      <c r="F11" s="6" t="inlineStr">
        <is>
          <t>Holocene</t>
        </is>
      </c>
      <c r="G11" s="8" t="n">
        <v>0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Holocene</t>
        </is>
      </c>
      <c r="J11" s="8" t="n">
        <v>0.0117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sedimentary</t>
        </is>
      </c>
      <c r="M11" s="5" t="inlineStr"/>
      <c r="N11" s="5" t="inlineStr">
        <is>
          <t>coastal</t>
        </is>
      </c>
      <c r="O11" s="5" t="inlineStr">
        <is>
          <t>Cenozoic Quaternary Holocene; coastal or dune deposits [Quaternary Basin &amp; Terrace Deposits]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H_ssd</t>
        </is>
      </c>
      <c r="U11" s="5" t="inlineStr"/>
      <c r="V11" s="10" t="inlineStr">
        <is>
          <t>H_ssd</t>
        </is>
      </c>
      <c r="W11" s="10" t="inlineStr">
        <is>
          <t>新生代 第四紀 完新世</t>
        </is>
      </c>
      <c r="X11" s="10" t="inlineStr">
        <is>
          <t>Cenozoic Quaternary Holocene</t>
        </is>
      </c>
      <c r="Y11" s="10" t="inlineStr">
        <is>
          <t>海岸・砂丘堆積物</t>
        </is>
      </c>
      <c r="Z11" s="10" t="inlineStr">
        <is>
          <t>coastal or dune deposits</t>
        </is>
      </c>
      <c r="AA11" s="10" t="inlineStr">
        <is>
          <t>堆積岩</t>
        </is>
      </c>
      <c r="AB11" s="10" t="inlineStr">
        <is>
          <t>Sedimentary rocks</t>
        </is>
      </c>
      <c r="AC11" s="10" t="inlineStr">
        <is>
          <t>Quaternary Basin &amp; Terrace Deposits</t>
        </is>
      </c>
    </row>
    <row r="12">
      <c r="A12" s="5" t="inlineStr">
        <is>
          <t>m200k_NJ-54-16･22_u007</t>
        </is>
      </c>
      <c r="B12" s="6" t="inlineStr">
        <is>
          <t>col_1</t>
        </is>
      </c>
      <c r="C12" s="6" t="n">
        <v>11</v>
      </c>
      <c r="D12" s="7" t="inlineStr">
        <is>
          <t>Holocene Sedimentary (Fukushima Quaternary)</t>
        </is>
      </c>
      <c r="E12" s="5" t="inlineStr">
        <is>
          <t>Fukushima Quaternary Basin &amp; Terrace Deposits</t>
        </is>
      </c>
      <c r="F12" s="6" t="inlineStr">
        <is>
          <t>Holocene</t>
        </is>
      </c>
      <c r="G12" s="8" t="n">
        <v>0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Holocene</t>
        </is>
      </c>
      <c r="J12" s="8" t="n">
        <v>0.0117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sedimentary</t>
        </is>
      </c>
      <c r="M12" s="5" t="inlineStr"/>
      <c r="N12" s="5" t="inlineStr">
        <is>
          <t>unknown</t>
        </is>
      </c>
      <c r="O12" s="5" t="inlineStr">
        <is>
          <t>Cenozoic Quaternary Holocene; natural levee deposits [Quaternary Basin &amp; Terrace Deposits]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H_svd</t>
        </is>
      </c>
      <c r="U12" s="5" t="inlineStr"/>
      <c r="V12" s="10" t="inlineStr">
        <is>
          <t>H_svd</t>
        </is>
      </c>
      <c r="W12" s="10" t="inlineStr">
        <is>
          <t>新生代 第四紀 完新世</t>
        </is>
      </c>
      <c r="X12" s="10" t="inlineStr">
        <is>
          <t>Cenozoic Quaternary Holocene</t>
        </is>
      </c>
      <c r="Y12" s="10" t="inlineStr">
        <is>
          <t>自然堤防堆積物</t>
        </is>
      </c>
      <c r="Z12" s="10" t="inlineStr">
        <is>
          <t>natural levee deposits</t>
        </is>
      </c>
      <c r="AA12" s="10" t="inlineStr">
        <is>
          <t>堆積岩</t>
        </is>
      </c>
      <c r="AB12" s="10" t="inlineStr">
        <is>
          <t>Sedimentary rocks</t>
        </is>
      </c>
      <c r="AC12" s="10" t="inlineStr">
        <is>
          <t>Quaternary Basin &amp; Terrace Deposits</t>
        </is>
      </c>
    </row>
    <row r="13">
      <c r="A13" s="5" t="inlineStr">
        <is>
          <t>m200k_NJ-54-16･22_u011</t>
        </is>
      </c>
      <c r="B13" s="6" t="inlineStr">
        <is>
          <t>col_1</t>
        </is>
      </c>
      <c r="C13" s="6" t="n">
        <v>12</v>
      </c>
      <c r="D13" s="7" t="inlineStr">
        <is>
          <t>Holocene Sedimentary (Fukushima Quaternary)</t>
        </is>
      </c>
      <c r="E13" s="5" t="inlineStr">
        <is>
          <t>Fukushima Quaternary Basin &amp; Terrace Deposits</t>
        </is>
      </c>
      <c r="F13" s="6" t="inlineStr">
        <is>
          <t>Holocene</t>
        </is>
      </c>
      <c r="G13" s="8" t="n">
        <v>0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Holocene</t>
        </is>
      </c>
      <c r="J13" s="8" t="n">
        <v>0.0117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sedimentary</t>
        </is>
      </c>
      <c r="M13" s="5" t="inlineStr"/>
      <c r="N13" s="5" t="inlineStr">
        <is>
          <t>unknown</t>
        </is>
      </c>
      <c r="O13" s="5" t="inlineStr">
        <is>
          <t>Cenozoic Quaternary late Holocene; Reclaimed land [Quaternary Basin &amp; Terrace Deposits]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H2_or</t>
        </is>
      </c>
      <c r="U13" s="5" t="inlineStr"/>
      <c r="V13" s="10" t="inlineStr">
        <is>
          <t>H2_or</t>
        </is>
      </c>
      <c r="W13" s="10" t="inlineStr">
        <is>
          <t>新生代 第四紀 後期完新世</t>
        </is>
      </c>
      <c r="X13" s="10" t="inlineStr">
        <is>
          <t>Cenozoic Quaternary late Holocene</t>
        </is>
      </c>
      <c r="Y13" s="10" t="inlineStr">
        <is>
          <t>盛り土・埋立地・干拓地</t>
        </is>
      </c>
      <c r="Z13" s="10" t="inlineStr">
        <is>
          <t>Reclaimed land</t>
        </is>
      </c>
      <c r="AA13" s="10" t="inlineStr">
        <is>
          <t>その他</t>
        </is>
      </c>
      <c r="AB13" s="10" t="inlineStr">
        <is>
          <t>Other</t>
        </is>
      </c>
      <c r="AC13" s="10" t="inlineStr">
        <is>
          <t>Quaternary Basin &amp; Terrace Deposits</t>
        </is>
      </c>
    </row>
    <row r="14">
      <c r="A14" s="5" t="inlineStr">
        <is>
          <t>m200k_NJ-54-16･22_u013</t>
        </is>
      </c>
      <c r="B14" s="6" t="inlineStr">
        <is>
          <t>col_1</t>
        </is>
      </c>
      <c r="C14" s="6" t="n">
        <v>13</v>
      </c>
      <c r="D14" s="7" t="inlineStr">
        <is>
          <t>Holocene Volcanic (Fukushima Quaternary)</t>
        </is>
      </c>
      <c r="E14" s="5" t="inlineStr">
        <is>
          <t>Fukushima Quaternary Basin &amp; Terrace Deposits</t>
        </is>
      </c>
      <c r="F14" s="6" t="inlineStr">
        <is>
          <t>Holocene</t>
        </is>
      </c>
      <c r="G14" s="8" t="n">
        <v>0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Holocene</t>
        </is>
      </c>
      <c r="J14" s="8" t="n">
        <v>0.0117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volcanic</t>
        </is>
      </c>
      <c r="M14" s="5" t="inlineStr"/>
      <c r="N14" s="5" t="inlineStr">
        <is>
          <t>volcanic</t>
        </is>
      </c>
      <c r="O14" s="5" t="inlineStr">
        <is>
          <t>Cenozoic Quaternary Holocene; volcanic rocks debris avalanche deposits [Quaternary Basin &amp; Terrace Deposits]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H_v_ad</t>
        </is>
      </c>
      <c r="U14" s="5" t="inlineStr"/>
      <c r="V14" s="10" t="inlineStr">
        <is>
          <t>H_v_ad</t>
        </is>
      </c>
      <c r="W14" s="10" t="inlineStr">
        <is>
          <t>新生代 第四紀 完新世</t>
        </is>
      </c>
      <c r="X14" s="10" t="inlineStr">
        <is>
          <t>Cenozoic Quaternary Holocene</t>
        </is>
      </c>
      <c r="Y14" s="10" t="inlineStr">
        <is>
          <t>火山岩 岩屑なだれ堆積物</t>
        </is>
      </c>
      <c r="Z14" s="10" t="inlineStr">
        <is>
          <t>volcanic rocks debris avalanche deposits</t>
        </is>
      </c>
      <c r="AA14" s="10" t="inlineStr">
        <is>
          <t>火成岩</t>
        </is>
      </c>
      <c r="AB14" s="10" t="inlineStr">
        <is>
          <t>Igneous rocks</t>
        </is>
      </c>
      <c r="AC14" s="10" t="inlineStr">
        <is>
          <t>Quaternary Basin &amp; Terrace Deposits</t>
        </is>
      </c>
    </row>
    <row r="15">
      <c r="A15" s="5" t="inlineStr">
        <is>
          <t>m200k_NJ-54-16･22_u026</t>
        </is>
      </c>
      <c r="B15" s="6" t="inlineStr">
        <is>
          <t>col_2</t>
        </is>
      </c>
      <c r="C15" s="6" t="n">
        <v>1</v>
      </c>
      <c r="D15" s="7" t="inlineStr">
        <is>
          <t>Albian Andesite (Fukushima Neogene-Paleogene)</t>
        </is>
      </c>
      <c r="E15" s="5" t="inlineStr">
        <is>
          <t>Fukushima Neogene-Paleogene Volcanic Complex</t>
        </is>
      </c>
      <c r="F15" s="6" t="inlineStr">
        <is>
          <t>Albian</t>
        </is>
      </c>
      <c r="G15" s="8" t="n">
        <v>100.5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Aptian</t>
        </is>
      </c>
      <c r="J15" s="8" t="n">
        <v>121.4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andesite</t>
        </is>
      </c>
      <c r="M15" s="5" t="inlineStr"/>
      <c r="N15" s="5" t="inlineStr">
        <is>
          <t>volcanic</t>
        </is>
      </c>
      <c r="O15" s="5" t="inlineStr">
        <is>
          <t>Mesozoic Early Cretaceous Aptian - Albian; andesite &amp; basaltic andesite lava &amp; pyroclastic rocks [Neogene-Paleogene Volcanic Complex]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K12_vis_al</t>
        </is>
      </c>
      <c r="U15" s="5" t="inlineStr"/>
      <c r="V15" s="10" t="inlineStr">
        <is>
          <t>K12_vis_al</t>
        </is>
      </c>
      <c r="W15" s="10" t="inlineStr">
        <is>
          <t>中生代 前期白亜紀 アプチアン期〜アルビアン期</t>
        </is>
      </c>
      <c r="X15" s="10" t="inlineStr">
        <is>
          <t>Mesozoic Early Cretaceous Aptian - Albian</t>
        </is>
      </c>
      <c r="Y15" s="10" t="inlineStr">
        <is>
          <t>安山岩・玄武岩質安山岩 溶岩・火砕岩</t>
        </is>
      </c>
      <c r="Z15" s="10" t="inlineStr">
        <is>
          <t>andesite &amp; basaltic andesite lava &amp; pyroclastic rocks</t>
        </is>
      </c>
      <c r="AA15" s="10" t="inlineStr">
        <is>
          <t>火成岩</t>
        </is>
      </c>
      <c r="AB15" s="10" t="inlineStr">
        <is>
          <t>Igneous rocks</t>
        </is>
      </c>
      <c r="AC15" s="10" t="inlineStr">
        <is>
          <t>Neogene-Paleogene Volcanic Complex</t>
        </is>
      </c>
    </row>
    <row r="16">
      <c r="A16" s="5" t="inlineStr">
        <is>
          <t>m200k_NJ-54-16･22_u022</t>
        </is>
      </c>
      <c r="B16" s="6" t="inlineStr">
        <is>
          <t>col_2</t>
        </is>
      </c>
      <c r="C16" s="6" t="n">
        <v>2</v>
      </c>
      <c r="D16" s="7" t="inlineStr">
        <is>
          <t>Aquitanian Andesite (Fukushima Neogene-Paleogene)</t>
        </is>
      </c>
      <c r="E16" s="5" t="inlineStr">
        <is>
          <t>Fukushima Neogene-Paleogene Volcanic Complex</t>
        </is>
      </c>
      <c r="F16" s="6" t="inlineStr">
        <is>
          <t>Aquitanian</t>
        </is>
      </c>
      <c r="G16" s="8" t="n">
        <v>20.45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Chattian</t>
        </is>
      </c>
      <c r="J16" s="8" t="n">
        <v>27.3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andesite</t>
        </is>
      </c>
      <c r="M16" s="5" t="inlineStr"/>
      <c r="N16" s="5" t="inlineStr">
        <is>
          <t>volcanic</t>
        </is>
      </c>
      <c r="O16" s="5" t="inlineStr">
        <is>
          <t>Cenozoic Paleogene Oligocene Chattian - Neogene Miocene Aquitanian; andesite &amp; basaltic andesite lava &amp; pyroclastic rocks [Neogene-Paleogene Volcanic Complex]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Pg4_vis_al</t>
        </is>
      </c>
      <c r="U16" s="5" t="inlineStr"/>
      <c r="V16" s="10" t="inlineStr">
        <is>
          <t>Pg4_vis_al</t>
        </is>
      </c>
      <c r="W16" s="10" t="inlineStr">
        <is>
          <t>新生代 古第三紀 漸新世 チャッティアン期〜新第三紀 中新世 アキタニアン期</t>
        </is>
      </c>
      <c r="X16" s="10" t="inlineStr">
        <is>
          <t>Cenozoic Paleogene Oligocene Chattian - Neogene Miocene Aquitanian</t>
        </is>
      </c>
      <c r="Y16" s="10" t="inlineStr">
        <is>
          <t>安山岩・玄武岩質安山岩 溶岩・火砕岩</t>
        </is>
      </c>
      <c r="Z16" s="10" t="inlineStr">
        <is>
          <t>andesite &amp; basaltic andesite lava &amp; pyroclastic rocks</t>
        </is>
      </c>
      <c r="AA16" s="10" t="inlineStr">
        <is>
          <t>火成岩</t>
        </is>
      </c>
      <c r="AB16" s="10" t="inlineStr">
        <is>
          <t>Igneous rocks</t>
        </is>
      </c>
      <c r="AC16" s="10" t="inlineStr">
        <is>
          <t>Neogene-Paleogene Volcanic Complex</t>
        </is>
      </c>
    </row>
    <row r="17">
      <c r="A17" s="5" t="inlineStr">
        <is>
          <t>m200k_NJ-54-16･22_u015</t>
        </is>
      </c>
      <c r="B17" s="6" t="inlineStr">
        <is>
          <t>col_2</t>
        </is>
      </c>
      <c r="C17" s="6" t="n">
        <v>3</v>
      </c>
      <c r="D17" s="7" t="inlineStr">
        <is>
          <t>Langhian Dacite (Fukushima Neogene-Paleogene)</t>
        </is>
      </c>
      <c r="E17" s="5" t="inlineStr">
        <is>
          <t>Fukushima Neogene-Paleogene Volcanic Complex</t>
        </is>
      </c>
      <c r="F17" s="6" t="inlineStr">
        <is>
          <t>Langhian</t>
        </is>
      </c>
      <c r="G17" s="8" t="n">
        <v>13.82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Burdigalian</t>
        </is>
      </c>
      <c r="J17" s="8" t="n">
        <v>20.45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dacite</t>
        </is>
      </c>
      <c r="M17" s="5" t="inlineStr">
        <is>
          <t>rhyolite</t>
        </is>
      </c>
      <c r="N17" s="5" t="inlineStr">
        <is>
          <t>volcanic</t>
        </is>
      </c>
      <c r="O17" s="5" t="inlineStr">
        <is>
          <t>Cenozoic Neogene Miocene Burdigalian - early Langhian; dacite &amp; rhyolite lava &amp; pyroclastic rocks [Neogene-Paleogene Volcanic Complex]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N1_vas_al</t>
        </is>
      </c>
      <c r="U17" s="5" t="inlineStr"/>
      <c r="V17" s="10" t="inlineStr">
        <is>
          <t>N1_vas_al</t>
        </is>
      </c>
      <c r="W17" s="10" t="inlineStr">
        <is>
          <t>新生代 新第三紀 中新世 バーディガリアン期〜前期ランギアン期</t>
        </is>
      </c>
      <c r="X17" s="10" t="inlineStr">
        <is>
          <t>Cenozoic Neogene Miocene Burdigalian - early Langhian</t>
        </is>
      </c>
      <c r="Y17" s="10" t="inlineStr">
        <is>
          <t>デイサイト・流紋岩 溶岩・火砕岩</t>
        </is>
      </c>
      <c r="Z17" s="10" t="inlineStr">
        <is>
          <t>dacite &amp; rhyolite lava &amp; pyroclastic rocks</t>
        </is>
      </c>
      <c r="AA17" s="10" t="inlineStr">
        <is>
          <t>火成岩</t>
        </is>
      </c>
      <c r="AB17" s="10" t="inlineStr">
        <is>
          <t>Igneous rocks</t>
        </is>
      </c>
      <c r="AC17" s="10" t="inlineStr">
        <is>
          <t>Neogene-Paleogene Volcanic Complex</t>
        </is>
      </c>
    </row>
    <row r="18">
      <c r="A18" s="5" t="inlineStr">
        <is>
          <t>m200k_NJ-54-16･22_u016</t>
        </is>
      </c>
      <c r="B18" s="6" t="inlineStr">
        <is>
          <t>col_2</t>
        </is>
      </c>
      <c r="C18" s="6" t="n">
        <v>4</v>
      </c>
      <c r="D18" s="7" t="inlineStr">
        <is>
          <t>Langhian Andesite (Fukushima Neogene-Paleogene)</t>
        </is>
      </c>
      <c r="E18" s="5" t="inlineStr">
        <is>
          <t>Fukushima Neogene-Paleogene Volcanic Complex</t>
        </is>
      </c>
      <c r="F18" s="6" t="inlineStr">
        <is>
          <t>Langhian</t>
        </is>
      </c>
      <c r="G18" s="8" t="n">
        <v>13.82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Burdigalian</t>
        </is>
      </c>
      <c r="J18" s="8" t="n">
        <v>20.45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andesite</t>
        </is>
      </c>
      <c r="M18" s="5" t="inlineStr"/>
      <c r="N18" s="5" t="inlineStr">
        <is>
          <t>volcanic</t>
        </is>
      </c>
      <c r="O18" s="5" t="inlineStr">
        <is>
          <t>Cenozoic Neogene Miocene Burdigalian - early Langhian; andesite &amp; basaltic andesite lava &amp; pyroclastic rocks [Neogene-Paleogene Volcanic Complex]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N1_vis_al</t>
        </is>
      </c>
      <c r="U18" s="5" t="inlineStr"/>
      <c r="V18" s="10" t="inlineStr">
        <is>
          <t>N1_vis_al</t>
        </is>
      </c>
      <c r="W18" s="10" t="inlineStr">
        <is>
          <t>新生代 新第三紀 中新世 バーディガリアン期〜前期ランギアン期</t>
        </is>
      </c>
      <c r="X18" s="10" t="inlineStr">
        <is>
          <t>Cenozoic Neogene Miocene Burdigalian - early Langhian</t>
        </is>
      </c>
      <c r="Y18" s="10" t="inlineStr">
        <is>
          <t>安山岩・玄武岩質安山岩 溶岩・火砕岩</t>
        </is>
      </c>
      <c r="Z18" s="10" t="inlineStr">
        <is>
          <t>andesite &amp; basaltic andesite lava &amp; pyroclastic rocks</t>
        </is>
      </c>
      <c r="AA18" s="10" t="inlineStr">
        <is>
          <t>火成岩</t>
        </is>
      </c>
      <c r="AB18" s="10" t="inlineStr">
        <is>
          <t>Igneous rocks</t>
        </is>
      </c>
      <c r="AC18" s="10" t="inlineStr">
        <is>
          <t>Neogene-Paleogene Volcanic Complex</t>
        </is>
      </c>
    </row>
    <row r="19">
      <c r="A19" s="5" t="inlineStr">
        <is>
          <t>m200k_NJ-54-16･22_u023</t>
        </is>
      </c>
      <c r="B19" s="6" t="inlineStr">
        <is>
          <t>col_2</t>
        </is>
      </c>
      <c r="C19" s="6" t="n">
        <v>5</v>
      </c>
      <c r="D19" s="7" t="inlineStr">
        <is>
          <t>Langhian Dacite (Fukushima Neogene-Paleogene)</t>
        </is>
      </c>
      <c r="E19" s="5" t="inlineStr">
        <is>
          <t>Fukushima Neogene-Paleogene Volcanic Complex</t>
        </is>
      </c>
      <c r="F19" s="6" t="inlineStr">
        <is>
          <t>Langhian</t>
        </is>
      </c>
      <c r="G19" s="8" t="n">
        <v>13.82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Burdigalian</t>
        </is>
      </c>
      <c r="J19" s="8" t="n">
        <v>20.45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dacite</t>
        </is>
      </c>
      <c r="M19" s="5" t="inlineStr">
        <is>
          <t>rhyolite</t>
        </is>
      </c>
      <c r="N19" s="5" t="inlineStr">
        <is>
          <t>volcanic</t>
        </is>
      </c>
      <c r="O19" s="5" t="inlineStr">
        <is>
          <t>Cenozoic Neogene Miocene Burdigalian - early Langhian; dacite &amp; rhyolite intrusives rocks [Neogene-Paleogene Volcanic Complex]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N1_vas_ai</t>
        </is>
      </c>
      <c r="U19" s="5" t="inlineStr"/>
      <c r="V19" s="10" t="inlineStr">
        <is>
          <t>N1_vas_ai</t>
        </is>
      </c>
      <c r="W19" s="10" t="inlineStr">
        <is>
          <t>新生代 新第三紀 中新世 バーディガリアン期〜前期ランギアン期</t>
        </is>
      </c>
      <c r="X19" s="10" t="inlineStr">
        <is>
          <t>Cenozoic Neogene Miocene Burdigalian - early Langhian</t>
        </is>
      </c>
      <c r="Y19" s="10" t="inlineStr">
        <is>
          <t>デイサイト・流紋岩 貫入岩</t>
        </is>
      </c>
      <c r="Z19" s="10" t="inlineStr">
        <is>
          <t>dacite &amp; rhyolite intrusives rocks</t>
        </is>
      </c>
      <c r="AA19" s="10" t="inlineStr">
        <is>
          <t>火成岩</t>
        </is>
      </c>
      <c r="AB19" s="10" t="inlineStr">
        <is>
          <t>Igneous rocks</t>
        </is>
      </c>
      <c r="AC19" s="10" t="inlineStr">
        <is>
          <t>Neogene-Paleogene Volcanic Complex</t>
        </is>
      </c>
    </row>
    <row r="20">
      <c r="A20" s="5" t="inlineStr">
        <is>
          <t>m200k_NJ-54-16･22_u024</t>
        </is>
      </c>
      <c r="B20" s="6" t="inlineStr">
        <is>
          <t>col_2</t>
        </is>
      </c>
      <c r="C20" s="6" t="n">
        <v>6</v>
      </c>
      <c r="D20" s="7" t="inlineStr">
        <is>
          <t>Langhian Basalt (Fukushima Neogene-Paleogene)</t>
        </is>
      </c>
      <c r="E20" s="5" t="inlineStr">
        <is>
          <t>Fukushima Neogene-Paleogene Volcanic Complex</t>
        </is>
      </c>
      <c r="F20" s="6" t="inlineStr">
        <is>
          <t>Langhian</t>
        </is>
      </c>
      <c r="G20" s="8" t="n">
        <v>13.82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Burdigalian</t>
        </is>
      </c>
      <c r="J20" s="8" t="n">
        <v>20.45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basalt</t>
        </is>
      </c>
      <c r="M20" s="5" t="inlineStr"/>
      <c r="N20" s="5" t="inlineStr">
        <is>
          <t>volcanic</t>
        </is>
      </c>
      <c r="O20" s="5" t="inlineStr">
        <is>
          <t>Cenozoic Neogene Miocene Burdigalian - early Langhian; basalt lava &amp; pyroclastic rocks [Neogene-Paleogene Volcanic Complex]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N1_vbs_al</t>
        </is>
      </c>
      <c r="U20" s="5" t="inlineStr"/>
      <c r="V20" s="10" t="inlineStr">
        <is>
          <t>N1_vbs_al</t>
        </is>
      </c>
      <c r="W20" s="10" t="inlineStr">
        <is>
          <t>新生代 新第三紀 中新世 バーディガリアン期〜前期ランギアン期</t>
        </is>
      </c>
      <c r="X20" s="10" t="inlineStr">
        <is>
          <t>Cenozoic Neogene Miocene Burdigalian - early Langhian</t>
        </is>
      </c>
      <c r="Y20" s="10" t="inlineStr">
        <is>
          <t>玄武岩 溶岩・火砕岩</t>
        </is>
      </c>
      <c r="Z20" s="10" t="inlineStr">
        <is>
          <t>basalt lava &amp; pyroclastic rocks</t>
        </is>
      </c>
      <c r="AA20" s="10" t="inlineStr">
        <is>
          <t>火成岩</t>
        </is>
      </c>
      <c r="AB20" s="10" t="inlineStr">
        <is>
          <t>Igneous rocks</t>
        </is>
      </c>
      <c r="AC20" s="10" t="inlineStr">
        <is>
          <t>Neogene-Paleogene Volcanic Complex</t>
        </is>
      </c>
    </row>
    <row r="21">
      <c r="A21" s="5" t="inlineStr">
        <is>
          <t>m200k_NJ-54-16･22_u018</t>
        </is>
      </c>
      <c r="B21" s="6" t="inlineStr">
        <is>
          <t>col_2</t>
        </is>
      </c>
      <c r="C21" s="6" t="n">
        <v>7</v>
      </c>
      <c r="D21" s="7" t="inlineStr">
        <is>
          <t>Tortonian Dacite (Fukushima Neogene-Paleogene)</t>
        </is>
      </c>
      <c r="E21" s="5" t="inlineStr">
        <is>
          <t>Fukushima Neogene-Paleogene Volcanic Complex</t>
        </is>
      </c>
      <c r="F21" s="6" t="inlineStr">
        <is>
          <t>Tortonian</t>
        </is>
      </c>
      <c r="G21" s="8" t="n">
        <v>7.246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Langhian</t>
        </is>
      </c>
      <c r="J21" s="8" t="n">
        <v>15.98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dacite</t>
        </is>
      </c>
      <c r="M21" s="5" t="inlineStr">
        <is>
          <t>rhyolite</t>
        </is>
      </c>
      <c r="N21" s="5" t="inlineStr">
        <is>
          <t>volcanic</t>
        </is>
      </c>
      <c r="O21" s="5" t="inlineStr">
        <is>
          <t>Cenozoic Neogene Miocene late Langhian - Tortonian; dacite &amp; rhyolite lava &amp; pyroclastic rocks [Neogene-Paleogene Volcanic Complex]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N2_vas_al</t>
        </is>
      </c>
      <c r="U21" s="5" t="inlineStr"/>
      <c r="V21" s="10" t="inlineStr">
        <is>
          <t>N2_vas_al</t>
        </is>
      </c>
      <c r="W21" s="10" t="inlineStr">
        <is>
          <t>新生代 新第三紀 中新世 後期ランギアン期〜トートニアン期</t>
        </is>
      </c>
      <c r="X21" s="10" t="inlineStr">
        <is>
          <t>Cenozoic Neogene Miocene late Langhian - Tortonian</t>
        </is>
      </c>
      <c r="Y21" s="10" t="inlineStr">
        <is>
          <t>デイサイト・流紋岩 溶岩・火砕岩</t>
        </is>
      </c>
      <c r="Z21" s="10" t="inlineStr">
        <is>
          <t>dacite &amp; rhyolite lava &amp; pyroclastic rocks</t>
        </is>
      </c>
      <c r="AA21" s="10" t="inlineStr">
        <is>
          <t>火成岩</t>
        </is>
      </c>
      <c r="AB21" s="10" t="inlineStr">
        <is>
          <t>Igneous rocks</t>
        </is>
      </c>
      <c r="AC21" s="10" t="inlineStr">
        <is>
          <t>Neogene-Paleogene Volcanic Complex</t>
        </is>
      </c>
    </row>
    <row r="22">
      <c r="A22" s="5" t="inlineStr">
        <is>
          <t>m200k_NJ-54-16･22_u021</t>
        </is>
      </c>
      <c r="B22" s="6" t="inlineStr">
        <is>
          <t>col_2</t>
        </is>
      </c>
      <c r="C22" s="6" t="n">
        <v>8</v>
      </c>
      <c r="D22" s="7" t="inlineStr">
        <is>
          <t>Tortonian Basalt (Fukushima Neogene-Paleogene)</t>
        </is>
      </c>
      <c r="E22" s="5" t="inlineStr">
        <is>
          <t>Fukushima Neogene-Paleogene Volcanic Complex</t>
        </is>
      </c>
      <c r="F22" s="6" t="inlineStr">
        <is>
          <t>Tortonian</t>
        </is>
      </c>
      <c r="G22" s="8" t="n">
        <v>7.246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Langhian</t>
        </is>
      </c>
      <c r="J22" s="8" t="n">
        <v>15.98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basalt</t>
        </is>
      </c>
      <c r="M22" s="5" t="inlineStr"/>
      <c r="N22" s="5" t="inlineStr">
        <is>
          <t>volcanic</t>
        </is>
      </c>
      <c r="O22" s="5" t="inlineStr">
        <is>
          <t>Cenozoic Neogene Miocene late Langhian - Tortonian; basalt intrusives rocks [Neogene-Paleogene Volcanic Complex]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N2_vbs_ai</t>
        </is>
      </c>
      <c r="U22" s="5" t="inlineStr"/>
      <c r="V22" s="10" t="inlineStr">
        <is>
          <t>N2_vbs_ai</t>
        </is>
      </c>
      <c r="W22" s="10" t="inlineStr">
        <is>
          <t>新生代 新第三紀 中新世 後期ランギアン期〜トートニアン期</t>
        </is>
      </c>
      <c r="X22" s="10" t="inlineStr">
        <is>
          <t>Cenozoic Neogene Miocene late Langhian - Tortonian</t>
        </is>
      </c>
      <c r="Y22" s="10" t="inlineStr">
        <is>
          <t>玄武岩 貫入岩</t>
        </is>
      </c>
      <c r="Z22" s="10" t="inlineStr">
        <is>
          <t>basalt intrusives rocks</t>
        </is>
      </c>
      <c r="AA22" s="10" t="inlineStr">
        <is>
          <t>火成岩</t>
        </is>
      </c>
      <c r="AB22" s="10" t="inlineStr">
        <is>
          <t>Igneous rocks</t>
        </is>
      </c>
      <c r="AC22" s="10" t="inlineStr">
        <is>
          <t>Neogene-Paleogene Volcanic Complex</t>
        </is>
      </c>
    </row>
    <row r="23">
      <c r="A23" s="5" t="inlineStr">
        <is>
          <t>m200k_NJ-54-16･22_u025</t>
        </is>
      </c>
      <c r="B23" s="6" t="inlineStr">
        <is>
          <t>col_2</t>
        </is>
      </c>
      <c r="C23" s="6" t="n">
        <v>9</v>
      </c>
      <c r="D23" s="7" t="inlineStr">
        <is>
          <t>Tortonian Dacite (Fukushima Neogene-Paleogene)</t>
        </is>
      </c>
      <c r="E23" s="5" t="inlineStr">
        <is>
          <t>Fukushima Neogene-Paleogene Volcanic Complex</t>
        </is>
      </c>
      <c r="F23" s="6" t="inlineStr">
        <is>
          <t>Tortonian</t>
        </is>
      </c>
      <c r="G23" s="8" t="n">
        <v>7.246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Langhian</t>
        </is>
      </c>
      <c r="J23" s="8" t="n">
        <v>15.98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dacite</t>
        </is>
      </c>
      <c r="M23" s="5" t="inlineStr">
        <is>
          <t>rhyolite</t>
        </is>
      </c>
      <c r="N23" s="5" t="inlineStr">
        <is>
          <t>volcanic</t>
        </is>
      </c>
      <c r="O23" s="5" t="inlineStr">
        <is>
          <t>Cenozoic Neogene Miocene late Langhian - Tortonian; dacite &amp; rhyolite pyroclastic rocks [Neogene-Paleogene Volcanic Complex]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N2_vas_ap</t>
        </is>
      </c>
      <c r="U23" s="5" t="inlineStr"/>
      <c r="V23" s="10" t="inlineStr">
        <is>
          <t>N2_vas_ap</t>
        </is>
      </c>
      <c r="W23" s="10" t="inlineStr">
        <is>
          <t>新生代 新第三紀 中新世 後期ランギアン期〜トートニアン期</t>
        </is>
      </c>
      <c r="X23" s="10" t="inlineStr">
        <is>
          <t>Cenozoic Neogene Miocene late Langhian - Tortonian</t>
        </is>
      </c>
      <c r="Y23" s="10" t="inlineStr">
        <is>
          <t>デイサイト・流紋岩 大規模火砕流</t>
        </is>
      </c>
      <c r="Z23" s="10" t="inlineStr">
        <is>
          <t>dacite &amp; rhyolite pyroclastic rocks</t>
        </is>
      </c>
      <c r="AA23" s="10" t="inlineStr">
        <is>
          <t>火成岩</t>
        </is>
      </c>
      <c r="AB23" s="10" t="inlineStr">
        <is>
          <t>Igneous rocks</t>
        </is>
      </c>
      <c r="AC23" s="10" t="inlineStr">
        <is>
          <t>Neogene-Paleogene Volcanic Complex</t>
        </is>
      </c>
    </row>
    <row r="24">
      <c r="A24" s="5" t="inlineStr">
        <is>
          <t>m200k_NJ-54-16･22_u027</t>
        </is>
      </c>
      <c r="B24" s="6" t="inlineStr">
        <is>
          <t>col_2</t>
        </is>
      </c>
      <c r="C24" s="6" t="n">
        <v>10</v>
      </c>
      <c r="D24" s="7" t="inlineStr">
        <is>
          <t>Tortonian Andesite (Fukushima Neogene-Paleogene)</t>
        </is>
      </c>
      <c r="E24" s="5" t="inlineStr">
        <is>
          <t>Fukushima Neogene-Paleogene Volcanic Complex</t>
        </is>
      </c>
      <c r="F24" s="6" t="inlineStr">
        <is>
          <t>Tortonian</t>
        </is>
      </c>
      <c r="G24" s="8" t="n">
        <v>7.246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Langhian</t>
        </is>
      </c>
      <c r="J24" s="8" t="n">
        <v>15.98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andesite</t>
        </is>
      </c>
      <c r="M24" s="5" t="inlineStr"/>
      <c r="N24" s="5" t="inlineStr">
        <is>
          <t>volcanic</t>
        </is>
      </c>
      <c r="O24" s="5" t="inlineStr">
        <is>
          <t>Cenozoic Neogene Miocene late Langhian - Tortonian; andesite &amp; basaltic andesite lava &amp; pyroclastic rocks [Neogene-Paleogene Volcanic Complex]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N2_vis_al</t>
        </is>
      </c>
      <c r="U24" s="5" t="inlineStr"/>
      <c r="V24" s="10" t="inlineStr">
        <is>
          <t>N2_vis_al</t>
        </is>
      </c>
      <c r="W24" s="10" t="inlineStr">
        <is>
          <t>新生代 新第三紀 中新世 後期ランギアン期〜トートニアン期</t>
        </is>
      </c>
      <c r="X24" s="10" t="inlineStr">
        <is>
          <t>Cenozoic Neogene Miocene late Langhian - Tortonian</t>
        </is>
      </c>
      <c r="Y24" s="10" t="inlineStr">
        <is>
          <t>安山岩・玄武岩質安山岩 溶岩・火砕岩</t>
        </is>
      </c>
      <c r="Z24" s="10" t="inlineStr">
        <is>
          <t>andesite &amp; basaltic andesite lava &amp; pyroclastic rocks</t>
        </is>
      </c>
      <c r="AA24" s="10" t="inlineStr">
        <is>
          <t>火成岩</t>
        </is>
      </c>
      <c r="AB24" s="10" t="inlineStr">
        <is>
          <t>Igneous rocks</t>
        </is>
      </c>
      <c r="AC24" s="10" t="inlineStr">
        <is>
          <t>Neogene-Paleogene Volcanic Complex</t>
        </is>
      </c>
    </row>
    <row r="25">
      <c r="A25" s="5" t="inlineStr">
        <is>
          <t>m200k_NJ-54-16･22_u014</t>
        </is>
      </c>
      <c r="B25" s="6" t="inlineStr">
        <is>
          <t>col_2</t>
        </is>
      </c>
      <c r="C25" s="6" t="n">
        <v>11</v>
      </c>
      <c r="D25" s="7" t="inlineStr">
        <is>
          <t>Pliocene Dacite (Fukushima Neogene-Paleogene)</t>
        </is>
      </c>
      <c r="E25" s="5" t="inlineStr">
        <is>
          <t>Fukushima Neogene-Paleogene Volcanic Complex</t>
        </is>
      </c>
      <c r="F25" s="6" t="inlineStr">
        <is>
          <t>Pliocene</t>
        </is>
      </c>
      <c r="G25" s="8" t="n">
        <v>2.58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Messinian</t>
        </is>
      </c>
      <c r="J25" s="8" t="n">
        <v>7.246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dacite</t>
        </is>
      </c>
      <c r="M25" s="5" t="inlineStr">
        <is>
          <t>rhyolite</t>
        </is>
      </c>
      <c r="N25" s="5" t="inlineStr">
        <is>
          <t>volcanic</t>
        </is>
      </c>
      <c r="O25" s="5" t="inlineStr">
        <is>
          <t>Cenozoic Neogene Miocene Messinian - Pliocene; dacite &amp; rhyolite lava &amp; pyroclastic rocks [Neogene-Paleogene Volcanic Complex]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N3_vas_al</t>
        </is>
      </c>
      <c r="U25" s="5" t="inlineStr"/>
      <c r="V25" s="10" t="inlineStr">
        <is>
          <t>N3_vas_al</t>
        </is>
      </c>
      <c r="W25" s="10" t="inlineStr">
        <is>
          <t>新生代 新第三紀 中新世 メッシニアン期〜鮮新世</t>
        </is>
      </c>
      <c r="X25" s="10" t="inlineStr">
        <is>
          <t>Cenozoic Neogene Miocene Messinian - Pliocene</t>
        </is>
      </c>
      <c r="Y25" s="10" t="inlineStr">
        <is>
          <t>デイサイト・流紋岩 溶岩・火砕岩</t>
        </is>
      </c>
      <c r="Z25" s="10" t="inlineStr">
        <is>
          <t>dacite &amp; rhyolite lava &amp; pyroclastic rocks</t>
        </is>
      </c>
      <c r="AA25" s="10" t="inlineStr">
        <is>
          <t>火成岩</t>
        </is>
      </c>
      <c r="AB25" s="10" t="inlineStr">
        <is>
          <t>Igneous rocks</t>
        </is>
      </c>
      <c r="AC25" s="10" t="inlineStr">
        <is>
          <t>Neogene-Paleogene Volcanic Complex</t>
        </is>
      </c>
    </row>
    <row r="26">
      <c r="A26" s="5" t="inlineStr">
        <is>
          <t>m200k_NJ-54-16･22_u017</t>
        </is>
      </c>
      <c r="B26" s="6" t="inlineStr">
        <is>
          <t>col_2</t>
        </is>
      </c>
      <c r="C26" s="6" t="n">
        <v>12</v>
      </c>
      <c r="D26" s="7" t="inlineStr">
        <is>
          <t>Pliocene Dacite (Fukushima Neogene-Paleogene)</t>
        </is>
      </c>
      <c r="E26" s="5" t="inlineStr">
        <is>
          <t>Fukushima Neogene-Paleogene Volcanic Complex</t>
        </is>
      </c>
      <c r="F26" s="6" t="inlineStr">
        <is>
          <t>Pliocene</t>
        </is>
      </c>
      <c r="G26" s="8" t="n">
        <v>2.58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Messinian</t>
        </is>
      </c>
      <c r="J26" s="8" t="n">
        <v>7.246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dacite</t>
        </is>
      </c>
      <c r="M26" s="5" t="inlineStr">
        <is>
          <t>rhyolite</t>
        </is>
      </c>
      <c r="N26" s="5" t="inlineStr">
        <is>
          <t>volcanic</t>
        </is>
      </c>
      <c r="O26" s="5" t="inlineStr">
        <is>
          <t>Cenozoic Neogene Miocene Messinian - Pliocene; dacite &amp; rhyolite pyroclastic rocks [Neogene-Paleogene Volcanic Complex]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N3_vas_ap</t>
        </is>
      </c>
      <c r="U26" s="5" t="inlineStr"/>
      <c r="V26" s="10" t="inlineStr">
        <is>
          <t>N3_vas_ap</t>
        </is>
      </c>
      <c r="W26" s="10" t="inlineStr">
        <is>
          <t>新生代 新第三紀 中新世 メッシニアン期〜鮮新世</t>
        </is>
      </c>
      <c r="X26" s="10" t="inlineStr">
        <is>
          <t>Cenozoic Neogene Miocene Messinian - Pliocene</t>
        </is>
      </c>
      <c r="Y26" s="10" t="inlineStr">
        <is>
          <t>デイサイト・流紋岩 大規模火砕流</t>
        </is>
      </c>
      <c r="Z26" s="10" t="inlineStr">
        <is>
          <t>dacite &amp; rhyolite pyroclastic rocks</t>
        </is>
      </c>
      <c r="AA26" s="10" t="inlineStr">
        <is>
          <t>火成岩</t>
        </is>
      </c>
      <c r="AB26" s="10" t="inlineStr">
        <is>
          <t>Igneous rocks</t>
        </is>
      </c>
      <c r="AC26" s="10" t="inlineStr">
        <is>
          <t>Neogene-Paleogene Volcanic Complex</t>
        </is>
      </c>
    </row>
    <row r="27">
      <c r="A27" s="5" t="inlineStr">
        <is>
          <t>m200k_NJ-54-16･22_u019</t>
        </is>
      </c>
      <c r="B27" s="6" t="inlineStr">
        <is>
          <t>col_2</t>
        </is>
      </c>
      <c r="C27" s="6" t="n">
        <v>13</v>
      </c>
      <c r="D27" s="7" t="inlineStr">
        <is>
          <t>Pliocene Dacite (Fukushima Neogene-Paleogene)</t>
        </is>
      </c>
      <c r="E27" s="5" t="inlineStr">
        <is>
          <t>Fukushima Neogene-Paleogene Volcanic Complex</t>
        </is>
      </c>
      <c r="F27" s="6" t="inlineStr">
        <is>
          <t>Pliocene</t>
        </is>
      </c>
      <c r="G27" s="8" t="n">
        <v>2.58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Messinian</t>
        </is>
      </c>
      <c r="J27" s="8" t="n">
        <v>7.246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dacite</t>
        </is>
      </c>
      <c r="M27" s="5" t="inlineStr">
        <is>
          <t>rhyolite</t>
        </is>
      </c>
      <c r="N27" s="5" t="inlineStr">
        <is>
          <t>volcanic</t>
        </is>
      </c>
      <c r="O27" s="5" t="inlineStr">
        <is>
          <t>Cenozoic Neogene Miocene Messinian - Pliocene; dacite &amp; rhyolite intrusives rocks [Neogene-Paleogene Volcanic Complex]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N3_vas_ai</t>
        </is>
      </c>
      <c r="U27" s="5" t="inlineStr"/>
      <c r="V27" s="10" t="inlineStr">
        <is>
          <t>N3_vas_ai</t>
        </is>
      </c>
      <c r="W27" s="10" t="inlineStr">
        <is>
          <t>新生代 新第三紀 中新世 メッシニアン期〜鮮新世</t>
        </is>
      </c>
      <c r="X27" s="10" t="inlineStr">
        <is>
          <t>Cenozoic Neogene Miocene Messinian - Pliocene</t>
        </is>
      </c>
      <c r="Y27" s="10" t="inlineStr">
        <is>
          <t>デイサイト・流紋岩 貫入岩</t>
        </is>
      </c>
      <c r="Z27" s="10" t="inlineStr">
        <is>
          <t>dacite &amp; rhyolite intrusives rocks</t>
        </is>
      </c>
      <c r="AA27" s="10" t="inlineStr">
        <is>
          <t>火成岩</t>
        </is>
      </c>
      <c r="AB27" s="10" t="inlineStr">
        <is>
          <t>Igneous rocks</t>
        </is>
      </c>
      <c r="AC27" s="10" t="inlineStr">
        <is>
          <t>Neogene-Paleogene Volcanic Complex</t>
        </is>
      </c>
    </row>
    <row r="28">
      <c r="A28" s="5" t="inlineStr">
        <is>
          <t>m200k_NJ-54-16･22_u020</t>
        </is>
      </c>
      <c r="B28" s="6" t="inlineStr">
        <is>
          <t>col_2</t>
        </is>
      </c>
      <c r="C28" s="6" t="n">
        <v>14</v>
      </c>
      <c r="D28" s="7" t="inlineStr">
        <is>
          <t>Pliocene Andesite (Fukushima Neogene-Paleogene)</t>
        </is>
      </c>
      <c r="E28" s="5" t="inlineStr">
        <is>
          <t>Fukushima Neogene-Paleogene Volcanic Complex</t>
        </is>
      </c>
      <c r="F28" s="6" t="inlineStr">
        <is>
          <t>Pliocene</t>
        </is>
      </c>
      <c r="G28" s="8" t="n">
        <v>2.58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Messinian</t>
        </is>
      </c>
      <c r="J28" s="8" t="n">
        <v>7.246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andesite</t>
        </is>
      </c>
      <c r="M28" s="5" t="inlineStr"/>
      <c r="N28" s="5" t="inlineStr">
        <is>
          <t>volcanic</t>
        </is>
      </c>
      <c r="O28" s="5" t="inlineStr">
        <is>
          <t>Cenozoic Neogene Miocene Messinian - Pliocene; andesite &amp; basaltic andesite lava &amp; pyroclastic rocks [Neogene-Paleogene Volcanic Complex]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N3_vis_al</t>
        </is>
      </c>
      <c r="U28" s="5" t="inlineStr"/>
      <c r="V28" s="10" t="inlineStr">
        <is>
          <t>N3_vis_al</t>
        </is>
      </c>
      <c r="W28" s="10" t="inlineStr">
        <is>
          <t>新生代 新第三紀 中新世 メッシニアン期〜鮮新世</t>
        </is>
      </c>
      <c r="X28" s="10" t="inlineStr">
        <is>
          <t>Cenozoic Neogene Miocene Messinian - Pliocene</t>
        </is>
      </c>
      <c r="Y28" s="10" t="inlineStr">
        <is>
          <t>安山岩・玄武岩質安山岩 溶岩・火砕岩</t>
        </is>
      </c>
      <c r="Z28" s="10" t="inlineStr">
        <is>
          <t>andesite &amp; basaltic andesite lava &amp; pyroclastic rocks</t>
        </is>
      </c>
      <c r="AA28" s="10" t="inlineStr">
        <is>
          <t>火成岩</t>
        </is>
      </c>
      <c r="AB28" s="10" t="inlineStr">
        <is>
          <t>Igneous rocks</t>
        </is>
      </c>
      <c r="AC28" s="10" t="inlineStr">
        <is>
          <t>Neogene-Paleogene Volcanic Complex</t>
        </is>
      </c>
    </row>
    <row r="29">
      <c r="A29" s="5" t="inlineStr">
        <is>
          <t>m200k_NJ-54-16･22_u029</t>
        </is>
      </c>
      <c r="B29" s="6" t="inlineStr">
        <is>
          <t>col_3</t>
        </is>
      </c>
      <c r="C29" s="6" t="n">
        <v>1</v>
      </c>
      <c r="D29" s="7" t="inlineStr">
        <is>
          <t>Anisian Sandstone (Fukushima Mesozoic)</t>
        </is>
      </c>
      <c r="E29" s="5" t="inlineStr">
        <is>
          <t>Fukushima Mesozoic Sedimentary Basin</t>
        </is>
      </c>
      <c r="F29" s="6" t="inlineStr">
        <is>
          <t>Anisian</t>
        </is>
      </c>
      <c r="G29" s="8" t="n">
        <v>241.464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Triassic</t>
        </is>
      </c>
      <c r="J29" s="8" t="n">
        <v>251.902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sandstone</t>
        </is>
      </c>
      <c r="M29" s="5" t="inlineStr"/>
      <c r="N29" s="5" t="inlineStr">
        <is>
          <t>marine</t>
        </is>
      </c>
      <c r="O29" s="5" t="inlineStr">
        <is>
          <t>Mesozoic Early Triassic - Late Triassic Anisian; marine sandstone [Mesozoic Sedimentary Basin]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Tr1-21_soss</t>
        </is>
      </c>
      <c r="U29" s="5" t="inlineStr"/>
      <c r="V29" s="10" t="inlineStr">
        <is>
          <t>Tr1-21_soss</t>
        </is>
      </c>
      <c r="W29" s="10" t="inlineStr">
        <is>
          <t>中生代 前期三畳紀〜後期三畳紀 アニシアン期</t>
        </is>
      </c>
      <c r="X29" s="10" t="inlineStr">
        <is>
          <t>Mesozoic Early Triassic - Late Triassic Anisian</t>
        </is>
      </c>
      <c r="Y29" s="10" t="inlineStr">
        <is>
          <t>海成層 砂岩</t>
        </is>
      </c>
      <c r="Z29" s="10" t="inlineStr">
        <is>
          <t>marine sandstone</t>
        </is>
      </c>
      <c r="AA29" s="10" t="inlineStr">
        <is>
          <t>堆積岩</t>
        </is>
      </c>
      <c r="AB29" s="10" t="inlineStr">
        <is>
          <t>Sedimentary rocks</t>
        </is>
      </c>
      <c r="AC29" s="10" t="inlineStr">
        <is>
          <t>Mesozoic Sedimentary Basin</t>
        </is>
      </c>
    </row>
    <row r="30">
      <c r="A30" s="5" t="inlineStr">
        <is>
          <t>m200k_NJ-54-16･22_u030</t>
        </is>
      </c>
      <c r="B30" s="6" t="inlineStr">
        <is>
          <t>col_3</t>
        </is>
      </c>
      <c r="C30" s="6" t="n">
        <v>2</v>
      </c>
      <c r="D30" s="7" t="inlineStr">
        <is>
          <t>Jurassic Mudstone (Fukushima Mesozoic)</t>
        </is>
      </c>
      <c r="E30" s="5" t="inlineStr">
        <is>
          <t>Fukushima Mesozoic Sedimentary Basin</t>
        </is>
      </c>
      <c r="F30" s="6" t="inlineStr">
        <is>
          <t>Jurassic</t>
        </is>
      </c>
      <c r="G30" s="8" t="n">
        <v>143.1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Jurassic</t>
        </is>
      </c>
      <c r="J30" s="8" t="n">
        <v>201.4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mudstone</t>
        </is>
      </c>
      <c r="M30" s="5" t="inlineStr"/>
      <c r="N30" s="5" t="inlineStr">
        <is>
          <t>marine</t>
        </is>
      </c>
      <c r="O30" s="5" t="inlineStr">
        <is>
          <t>Mesozoic Jurassic Middle; marine mudstone [Mesozoic Sedimentary Basin]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J2_som</t>
        </is>
      </c>
      <c r="U30" s="5" t="inlineStr"/>
      <c r="V30" s="10" t="inlineStr">
        <is>
          <t>J2_som</t>
        </is>
      </c>
      <c r="W30" s="10" t="inlineStr">
        <is>
          <t>中生代 中期ジュラ紀</t>
        </is>
      </c>
      <c r="X30" s="10" t="inlineStr">
        <is>
          <t>Mesozoic Jurassic Middle</t>
        </is>
      </c>
      <c r="Y30" s="10" t="inlineStr">
        <is>
          <t>海成層 泥岩</t>
        </is>
      </c>
      <c r="Z30" s="10" t="inlineStr">
        <is>
          <t>marine mudstone</t>
        </is>
      </c>
      <c r="AA30" s="10" t="inlineStr">
        <is>
          <t>堆積岩</t>
        </is>
      </c>
      <c r="AB30" s="10" t="inlineStr">
        <is>
          <t>Sedimentary rocks</t>
        </is>
      </c>
      <c r="AC30" s="10" t="inlineStr">
        <is>
          <t>Mesozoic Sedimentary Basin</t>
        </is>
      </c>
    </row>
    <row r="31">
      <c r="A31" s="5" t="inlineStr">
        <is>
          <t>m200k_NJ-54-16･22_u031</t>
        </is>
      </c>
      <c r="B31" s="6" t="inlineStr">
        <is>
          <t>col_3</t>
        </is>
      </c>
      <c r="C31" s="6" t="n">
        <v>3</v>
      </c>
      <c r="D31" s="7" t="inlineStr">
        <is>
          <t>Jurassic Sandstone (Fukushima Mesozoic)</t>
        </is>
      </c>
      <c r="E31" s="5" t="inlineStr">
        <is>
          <t>Fukushima Mesozoic Sedimentary Basin</t>
        </is>
      </c>
      <c r="F31" s="6" t="inlineStr">
        <is>
          <t>Jurassic</t>
        </is>
      </c>
      <c r="G31" s="8" t="n">
        <v>143.1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Jurassic</t>
        </is>
      </c>
      <c r="J31" s="8" t="n">
        <v>201.4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sandstone</t>
        </is>
      </c>
      <c r="M31" s="5" t="inlineStr"/>
      <c r="N31" s="5" t="inlineStr">
        <is>
          <t>marine</t>
        </is>
      </c>
      <c r="O31" s="5" t="inlineStr">
        <is>
          <t>Mesozoic Late Jurassic; marine sandstone [Mesozoic Sedimentary Basin]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J3_soss</t>
        </is>
      </c>
      <c r="U31" s="5" t="inlineStr"/>
      <c r="V31" s="10" t="inlineStr">
        <is>
          <t>J3_soss</t>
        </is>
      </c>
      <c r="W31" s="10" t="inlineStr">
        <is>
          <t>中生代 後期ジュラ紀</t>
        </is>
      </c>
      <c r="X31" s="10" t="inlineStr">
        <is>
          <t>Mesozoic Late Jurassic</t>
        </is>
      </c>
      <c r="Y31" s="10" t="inlineStr">
        <is>
          <t>海成層 砂岩</t>
        </is>
      </c>
      <c r="Z31" s="10" t="inlineStr">
        <is>
          <t>marine sandstone</t>
        </is>
      </c>
      <c r="AA31" s="10" t="inlineStr">
        <is>
          <t>堆積岩</t>
        </is>
      </c>
      <c r="AB31" s="10" t="inlineStr">
        <is>
          <t>Sedimentary rocks</t>
        </is>
      </c>
      <c r="AC31" s="10" t="inlineStr">
        <is>
          <t>Mesozoic Sedimentary Basin</t>
        </is>
      </c>
    </row>
    <row r="32">
      <c r="A32" s="5" t="inlineStr">
        <is>
          <t>m200k_NJ-54-16･22_u028</t>
        </is>
      </c>
      <c r="B32" s="6" t="inlineStr">
        <is>
          <t>col_3</t>
        </is>
      </c>
      <c r="C32" s="6" t="n">
        <v>4</v>
      </c>
      <c r="D32" s="7" t="inlineStr">
        <is>
          <t>Albian Tonalite (Fukushima Mesozoic)</t>
        </is>
      </c>
      <c r="E32" s="5" t="inlineStr">
        <is>
          <t>Fukushima Mesozoic Sedimentary Basin</t>
        </is>
      </c>
      <c r="F32" s="6" t="inlineStr">
        <is>
          <t>Albian</t>
        </is>
      </c>
      <c r="G32" s="8" t="n">
        <v>100.5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Aptian</t>
        </is>
      </c>
      <c r="J32" s="8" t="n">
        <v>121.4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tonalite</t>
        </is>
      </c>
      <c r="M32" s="5" t="inlineStr"/>
      <c r="N32" s="5" t="inlineStr">
        <is>
          <t>unknown</t>
        </is>
      </c>
      <c r="O32" s="5" t="inlineStr">
        <is>
          <t>Mesozoic Early Cretaceous Aptian - Albian; mssive granodiolite &amp; tonalite island arc &amp; continental [Mesozoic Sedimentary Basin]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K12_pim_a</t>
        </is>
      </c>
      <c r="U32" s="5" t="inlineStr"/>
      <c r="V32" s="10" t="inlineStr">
        <is>
          <t>K12_pim_a</t>
        </is>
      </c>
      <c r="W32" s="10" t="inlineStr">
        <is>
          <t>中生代 前期白亜紀 アプチアン期〜アルビアン期</t>
        </is>
      </c>
      <c r="X32" s="10" t="inlineStr">
        <is>
          <t>Mesozoic Early Cretaceous Aptian - Albian</t>
        </is>
      </c>
      <c r="Y32" s="10" t="inlineStr">
        <is>
          <t>花崗閃緑岩・トーナル岩 塊状 島弧・大陸</t>
        </is>
      </c>
      <c r="Z32" s="10" t="inlineStr">
        <is>
          <t>mssive granodiolite &amp; tonalite island arc &amp; continental</t>
        </is>
      </c>
      <c r="AA32" s="10" t="inlineStr">
        <is>
          <t>火成岩</t>
        </is>
      </c>
      <c r="AB32" s="10" t="inlineStr">
        <is>
          <t>Igneous rocks</t>
        </is>
      </c>
      <c r="AC32" s="10" t="inlineStr">
        <is>
          <t>Mesozoic Sedimentary Basin</t>
        </is>
      </c>
    </row>
    <row r="33">
      <c r="A33" s="5" t="inlineStr">
        <is>
          <t>m200k_NJ-54-16･22_u032</t>
        </is>
      </c>
      <c r="B33" s="6" t="inlineStr">
        <is>
          <t>col_3</t>
        </is>
      </c>
      <c r="C33" s="6" t="n">
        <v>5</v>
      </c>
      <c r="D33" s="7" t="inlineStr">
        <is>
          <t>Maastrichtian Tonalite (Fukushima Mesozoic)</t>
        </is>
      </c>
      <c r="E33" s="5" t="inlineStr">
        <is>
          <t>Fukushima Mesozoic Sedimentary Basin</t>
        </is>
      </c>
      <c r="F33" s="6" t="inlineStr">
        <is>
          <t>Maastrichtian</t>
        </is>
      </c>
      <c r="G33" s="8" t="n">
        <v>66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Campanian</t>
        </is>
      </c>
      <c r="J33" s="8" t="n">
        <v>83.59999999999999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tonalite</t>
        </is>
      </c>
      <c r="M33" s="5" t="inlineStr"/>
      <c r="N33" s="5" t="inlineStr">
        <is>
          <t>unknown</t>
        </is>
      </c>
      <c r="O33" s="5" t="inlineStr">
        <is>
          <t>Mesozoic Late Cretaceous Campanian - Maastrichtian; mssive granodiolite &amp; tonalite island arc &amp; continental [Mesozoic Sedimentary Basin]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K22_pim_a</t>
        </is>
      </c>
      <c r="U33" s="5" t="inlineStr"/>
      <c r="V33" s="10" t="inlineStr">
        <is>
          <t>K22_pim_a</t>
        </is>
      </c>
      <c r="W33" s="10" t="inlineStr">
        <is>
          <t>中生代 後期白亜紀 カンパニアン期〜マーストリヒチアン期</t>
        </is>
      </c>
      <c r="X33" s="10" t="inlineStr">
        <is>
          <t>Mesozoic Late Cretaceous Campanian - Maastrichtian</t>
        </is>
      </c>
      <c r="Y33" s="10" t="inlineStr">
        <is>
          <t>花崗閃緑岩・トーナル岩 塊状 島弧・大陸</t>
        </is>
      </c>
      <c r="Z33" s="10" t="inlineStr">
        <is>
          <t>mssive granodiolite &amp; tonalite island arc &amp; continental</t>
        </is>
      </c>
      <c r="AA33" s="10" t="inlineStr">
        <is>
          <t>火成岩</t>
        </is>
      </c>
      <c r="AB33" s="10" t="inlineStr">
        <is>
          <t>Igneous rocks</t>
        </is>
      </c>
      <c r="AC33" s="10" t="inlineStr">
        <is>
          <t>Mesozoic Sedimentary Basin</t>
        </is>
      </c>
    </row>
    <row r="34">
      <c r="A34" s="5" t="inlineStr">
        <is>
          <t>m200k_NJ-54-16･22_u036</t>
        </is>
      </c>
      <c r="B34" s="6" t="inlineStr">
        <is>
          <t>col_4</t>
        </is>
      </c>
      <c r="C34" s="6" t="n">
        <v>1</v>
      </c>
      <c r="D34" s="7" t="inlineStr">
        <is>
          <t>Langhian Sandstone (Fukushima Neogene)</t>
        </is>
      </c>
      <c r="E34" s="5" t="inlineStr">
        <is>
          <t>Fukushima Neogene Sedimentary Basin</t>
        </is>
      </c>
      <c r="F34" s="6" t="inlineStr">
        <is>
          <t>Langhian</t>
        </is>
      </c>
      <c r="G34" s="8" t="n">
        <v>13.82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Burdigalian</t>
        </is>
      </c>
      <c r="J34" s="8" t="n">
        <v>20.45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sandstone</t>
        </is>
      </c>
      <c r="M34" s="5" t="inlineStr">
        <is>
          <t>mudstone</t>
        </is>
      </c>
      <c r="N34" s="5" t="inlineStr">
        <is>
          <t>marine</t>
        </is>
      </c>
      <c r="O34" s="5" t="inlineStr">
        <is>
          <t>Cenozoic Neogene Miocene Burdigalian - early Langhian; non-marine sandstone, or alternation of sandstone &amp; mudstone or sandstone &amp; mudstone [Neogene Sedimentary Basin]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N1_sns</t>
        </is>
      </c>
      <c r="U34" s="5" t="inlineStr"/>
      <c r="V34" s="10" t="inlineStr">
        <is>
          <t>N1_sns</t>
        </is>
      </c>
      <c r="W34" s="10" t="inlineStr">
        <is>
          <t>新生代 新第三紀 中新世 バーディガリアン期〜前期ランギアン期</t>
        </is>
      </c>
      <c r="X34" s="10" t="inlineStr">
        <is>
          <t>Cenozoic Neogene Miocene Burdigalian - early Langhian</t>
        </is>
      </c>
      <c r="Y34" s="10" t="inlineStr">
        <is>
          <t>非海成層 砂岩，砂岩泥岩互層ないし砂岩・泥岩</t>
        </is>
      </c>
      <c r="Z34" s="10" t="inlineStr">
        <is>
          <t>non-marine sandstone, or alternation of sandstone &amp; mudstone or sandstone &amp; mudstone</t>
        </is>
      </c>
      <c r="AA34" s="10" t="inlineStr">
        <is>
          <t>堆積岩</t>
        </is>
      </c>
      <c r="AB34" s="10" t="inlineStr">
        <is>
          <t>Sedimentary rocks</t>
        </is>
      </c>
      <c r="AC34" s="10" t="inlineStr">
        <is>
          <t>Neogene Sedimentary Basin</t>
        </is>
      </c>
    </row>
    <row r="35">
      <c r="A35" s="5" t="inlineStr">
        <is>
          <t>m200k_NJ-54-16･22_u039</t>
        </is>
      </c>
      <c r="B35" s="6" t="inlineStr">
        <is>
          <t>col_4</t>
        </is>
      </c>
      <c r="C35" s="6" t="n">
        <v>2</v>
      </c>
      <c r="D35" s="7" t="inlineStr">
        <is>
          <t>Langhian Mudstone (Fukushima Neogene)</t>
        </is>
      </c>
      <c r="E35" s="5" t="inlineStr">
        <is>
          <t>Fukushima Neogene Sedimentary Basin</t>
        </is>
      </c>
      <c r="F35" s="6" t="inlineStr">
        <is>
          <t>Langhian</t>
        </is>
      </c>
      <c r="G35" s="8" t="n">
        <v>13.82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Burdigalian</t>
        </is>
      </c>
      <c r="J35" s="8" t="n">
        <v>20.45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mudstone</t>
        </is>
      </c>
      <c r="M35" s="5" t="inlineStr"/>
      <c r="N35" s="5" t="inlineStr">
        <is>
          <t>marine</t>
        </is>
      </c>
      <c r="O35" s="5" t="inlineStr">
        <is>
          <t>Cenozoic Neogene Miocene Burdigalian - early Langhian; marine mudstone [Neogene Sedimentary Basin]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N1_som</t>
        </is>
      </c>
      <c r="U35" s="5" t="inlineStr"/>
      <c r="V35" s="10" t="inlineStr">
        <is>
          <t>N1_som</t>
        </is>
      </c>
      <c r="W35" s="10" t="inlineStr">
        <is>
          <t>新生代 新第三紀 中新世 バーディガリアン期〜前期ランギアン期</t>
        </is>
      </c>
      <c r="X35" s="10" t="inlineStr">
        <is>
          <t>Cenozoic Neogene Miocene Burdigalian - early Langhian</t>
        </is>
      </c>
      <c r="Y35" s="10" t="inlineStr">
        <is>
          <t>海成層 泥岩</t>
        </is>
      </c>
      <c r="Z35" s="10" t="inlineStr">
        <is>
          <t>marine mudstone</t>
        </is>
      </c>
      <c r="AA35" s="10" t="inlineStr">
        <is>
          <t>堆積岩</t>
        </is>
      </c>
      <c r="AB35" s="10" t="inlineStr">
        <is>
          <t>Sedimentary rocks</t>
        </is>
      </c>
      <c r="AC35" s="10" t="inlineStr">
        <is>
          <t>Neogene Sedimentary Basin</t>
        </is>
      </c>
    </row>
    <row r="36">
      <c r="A36" s="5" t="inlineStr">
        <is>
          <t>m200k_NJ-54-16･22_u040</t>
        </is>
      </c>
      <c r="B36" s="6" t="inlineStr">
        <is>
          <t>col_4</t>
        </is>
      </c>
      <c r="C36" s="6" t="n">
        <v>3</v>
      </c>
      <c r="D36" s="7" t="inlineStr">
        <is>
          <t>Langhian Sandstone (Fukushima Neogene)</t>
        </is>
      </c>
      <c r="E36" s="5" t="inlineStr">
        <is>
          <t>Fukushima Neogene Sedimentary Basin</t>
        </is>
      </c>
      <c r="F36" s="6" t="inlineStr">
        <is>
          <t>Langhian</t>
        </is>
      </c>
      <c r="G36" s="8" t="n">
        <v>13.82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Burdigalian</t>
        </is>
      </c>
      <c r="J36" s="8" t="n">
        <v>20.45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sandstone</t>
        </is>
      </c>
      <c r="M36" s="5" t="inlineStr"/>
      <c r="N36" s="5" t="inlineStr">
        <is>
          <t>marine</t>
        </is>
      </c>
      <c r="O36" s="5" t="inlineStr">
        <is>
          <t>Cenozoic Neogene Miocene Burdigalian - early Langhian; marine sandstone [Neogene Sedimentary Basin]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N1_soss</t>
        </is>
      </c>
      <c r="U36" s="5" t="inlineStr"/>
      <c r="V36" s="10" t="inlineStr">
        <is>
          <t>N1_soss</t>
        </is>
      </c>
      <c r="W36" s="10" t="inlineStr">
        <is>
          <t>新生代 新第三紀 中新世 バーディガリアン期〜前期ランギアン期</t>
        </is>
      </c>
      <c r="X36" s="10" t="inlineStr">
        <is>
          <t>Cenozoic Neogene Miocene Burdigalian - early Langhian</t>
        </is>
      </c>
      <c r="Y36" s="10" t="inlineStr">
        <is>
          <t>海成層 砂岩</t>
        </is>
      </c>
      <c r="Z36" s="10" t="inlineStr">
        <is>
          <t>marine sandstone</t>
        </is>
      </c>
      <c r="AA36" s="10" t="inlineStr">
        <is>
          <t>堆積岩</t>
        </is>
      </c>
      <c r="AB36" s="10" t="inlineStr">
        <is>
          <t>Sedimentary rocks</t>
        </is>
      </c>
      <c r="AC36" s="10" t="inlineStr">
        <is>
          <t>Neogene Sedimentary Basin</t>
        </is>
      </c>
    </row>
    <row r="37">
      <c r="A37" s="5" t="inlineStr">
        <is>
          <t>m200k_NJ-54-16･22_u042</t>
        </is>
      </c>
      <c r="B37" s="6" t="inlineStr">
        <is>
          <t>col_4</t>
        </is>
      </c>
      <c r="C37" s="6" t="n">
        <v>4</v>
      </c>
      <c r="D37" s="7" t="inlineStr">
        <is>
          <t>Langhian Sandstone (Fukushima Neogene)</t>
        </is>
      </c>
      <c r="E37" s="5" t="inlineStr">
        <is>
          <t>Fukushima Neogene Sedimentary Basin</t>
        </is>
      </c>
      <c r="F37" s="6" t="inlineStr">
        <is>
          <t>Langhian</t>
        </is>
      </c>
      <c r="G37" s="8" t="n">
        <v>13.82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Burdigalian</t>
        </is>
      </c>
      <c r="J37" s="8" t="n">
        <v>20.45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sandstone</t>
        </is>
      </c>
      <c r="M37" s="5" t="inlineStr">
        <is>
          <t>mudstone</t>
        </is>
      </c>
      <c r="N37" s="5" t="inlineStr">
        <is>
          <t>marine</t>
        </is>
      </c>
      <c r="O37" s="5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N1_sbs</t>
        </is>
      </c>
      <c r="U37" s="5" t="inlineStr"/>
      <c r="V37" s="10" t="inlineStr">
        <is>
          <t>N1_sbs</t>
        </is>
      </c>
      <c r="W37" s="10" t="inlineStr">
        <is>
          <t>新生代 新第三紀 中新世 バーディガリアン期〜前期ランギアン期</t>
        </is>
      </c>
      <c r="X37" s="10" t="inlineStr">
        <is>
          <t>Cenozoic Neogene Miocene Burdigalian - early Langhian</t>
        </is>
      </c>
      <c r="Y37" s="10" t="inlineStr">
        <is>
          <t>汽水成層ないし海成・非海成混合層 砂岩，砂岩泥岩互層ないし砂岩・泥岩</t>
        </is>
      </c>
      <c r="Z37" s="10" t="inlineStr">
        <is>
          <t xml:space="preserve">brackish, or marine &amp; non-marine  mixture sandstone, alternation of sandstone &amp; mudstone or sandstone &amp; mudstone </t>
        </is>
      </c>
      <c r="AA37" s="10" t="inlineStr">
        <is>
          <t>堆積岩</t>
        </is>
      </c>
      <c r="AB37" s="10" t="inlineStr">
        <is>
          <t>Sedimentary rocks</t>
        </is>
      </c>
      <c r="AC37" s="10" t="inlineStr">
        <is>
          <t>Neogene Sedimentary Basin</t>
        </is>
      </c>
    </row>
    <row r="38">
      <c r="A38" s="5" t="inlineStr">
        <is>
          <t>m200k_NJ-54-16･22_u045</t>
        </is>
      </c>
      <c r="B38" s="6" t="inlineStr">
        <is>
          <t>col_4</t>
        </is>
      </c>
      <c r="C38" s="6" t="n">
        <v>5</v>
      </c>
      <c r="D38" s="7" t="inlineStr">
        <is>
          <t>Langhian Conglomerate (Fukushima Neogene)</t>
        </is>
      </c>
      <c r="E38" s="5" t="inlineStr">
        <is>
          <t>Fukushima Neogene Sedimentary Basin</t>
        </is>
      </c>
      <c r="F38" s="6" t="inlineStr">
        <is>
          <t>Langhian</t>
        </is>
      </c>
      <c r="G38" s="8" t="n">
        <v>13.82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Burdigalian</t>
        </is>
      </c>
      <c r="J38" s="8" t="n">
        <v>20.45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conglomerate</t>
        </is>
      </c>
      <c r="M38" s="5" t="inlineStr"/>
      <c r="N38" s="5" t="inlineStr">
        <is>
          <t>marine</t>
        </is>
      </c>
      <c r="O38" s="5" t="inlineStr">
        <is>
          <t>Cenozoic Neogene Miocene Burdigalian - early Langhian; brackish, or marine &amp; non-marine  mixture conglomerate [Neogene Sedimentary Basin]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N1_sbc</t>
        </is>
      </c>
      <c r="U38" s="5" t="inlineStr"/>
      <c r="V38" s="10" t="inlineStr">
        <is>
          <t>N1_sbc</t>
        </is>
      </c>
      <c r="W38" s="10" t="inlineStr">
        <is>
          <t>新生代 新第三紀 中新世 バーディガリアン期〜前期ランギアン期</t>
        </is>
      </c>
      <c r="X38" s="10" t="inlineStr">
        <is>
          <t>Cenozoic Neogene Miocene Burdigalian - early Langhian</t>
        </is>
      </c>
      <c r="Y38" s="10" t="inlineStr">
        <is>
          <t>汽水成層ないし海成・非海成混合層 礫岩</t>
        </is>
      </c>
      <c r="Z38" s="10" t="inlineStr">
        <is>
          <t>brackish, or marine &amp; non-marine  mixture conglomerate</t>
        </is>
      </c>
      <c r="AA38" s="10" t="inlineStr">
        <is>
          <t>堆積岩</t>
        </is>
      </c>
      <c r="AB38" s="10" t="inlineStr">
        <is>
          <t>Sedimentary rocks</t>
        </is>
      </c>
      <c r="AC38" s="10" t="inlineStr">
        <is>
          <t>Neogene Sedimentary Basin</t>
        </is>
      </c>
    </row>
    <row r="39">
      <c r="A39" s="5" t="inlineStr">
        <is>
          <t>m200k_NJ-54-16･22_u034</t>
        </is>
      </c>
      <c r="B39" s="6" t="inlineStr">
        <is>
          <t>col_4</t>
        </is>
      </c>
      <c r="C39" s="6" t="n">
        <v>6</v>
      </c>
      <c r="D39" s="7" t="inlineStr">
        <is>
          <t>Tortonian Sandstone (Fukushima Neogene)</t>
        </is>
      </c>
      <c r="E39" s="5" t="inlineStr">
        <is>
          <t>Fukushima Neogene Sedimentary Basin</t>
        </is>
      </c>
      <c r="F39" s="6" t="inlineStr">
        <is>
          <t>Tortonian</t>
        </is>
      </c>
      <c r="G39" s="8" t="n">
        <v>7.246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Langhian</t>
        </is>
      </c>
      <c r="J39" s="8" t="n">
        <v>15.98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sandstone</t>
        </is>
      </c>
      <c r="M39" s="5" t="inlineStr"/>
      <c r="N39" s="5" t="inlineStr">
        <is>
          <t>marine</t>
        </is>
      </c>
      <c r="O39" s="5" t="inlineStr">
        <is>
          <t>Cenozoic Neogene Miocene late Langhian - Tortonian; marine sandstone [Neogene Sedimentary Basin]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N2_soss</t>
        </is>
      </c>
      <c r="U39" s="5" t="inlineStr"/>
      <c r="V39" s="10" t="inlineStr">
        <is>
          <t>N2_soss</t>
        </is>
      </c>
      <c r="W39" s="10" t="inlineStr">
        <is>
          <t>新生代 新第三紀 中新世 後期ランギアン期〜トートニアン期</t>
        </is>
      </c>
      <c r="X39" s="10" t="inlineStr">
        <is>
          <t>Cenozoic Neogene Miocene late Langhian - Tortonian</t>
        </is>
      </c>
      <c r="Y39" s="10" t="inlineStr">
        <is>
          <t>海成層 砂岩</t>
        </is>
      </c>
      <c r="Z39" s="10" t="inlineStr">
        <is>
          <t>marine sandstone</t>
        </is>
      </c>
      <c r="AA39" s="10" t="inlineStr">
        <is>
          <t>堆積岩</t>
        </is>
      </c>
      <c r="AB39" s="10" t="inlineStr">
        <is>
          <t>Sedimentary rocks</t>
        </is>
      </c>
      <c r="AC39" s="10" t="inlineStr">
        <is>
          <t>Neogene Sedimentary Basin</t>
        </is>
      </c>
    </row>
    <row r="40">
      <c r="A40" s="5" t="inlineStr">
        <is>
          <t>m200k_NJ-54-16･22_u035</t>
        </is>
      </c>
      <c r="B40" s="6" t="inlineStr">
        <is>
          <t>col_4</t>
        </is>
      </c>
      <c r="C40" s="6" t="n">
        <v>7</v>
      </c>
      <c r="D40" s="7" t="inlineStr">
        <is>
          <t>Tortonian Conglomerate (Fukushima Neogene)</t>
        </is>
      </c>
      <c r="E40" s="5" t="inlineStr">
        <is>
          <t>Fukushima Neogene Sedimentary Basin</t>
        </is>
      </c>
      <c r="F40" s="6" t="inlineStr">
        <is>
          <t>Tortonian</t>
        </is>
      </c>
      <c r="G40" s="8" t="n">
        <v>7.246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Langhian</t>
        </is>
      </c>
      <c r="J40" s="8" t="n">
        <v>15.98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conglomerate</t>
        </is>
      </c>
      <c r="M40" s="5" t="inlineStr"/>
      <c r="N40" s="5" t="inlineStr">
        <is>
          <t>marine</t>
        </is>
      </c>
      <c r="O40" s="5" t="inlineStr">
        <is>
          <t>Cenozoic Neogene Miocene late Langhian - Tortonian; marine conglomerate [Neogene Sedimentary Basin]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N2_soc</t>
        </is>
      </c>
      <c r="U40" s="5" t="inlineStr"/>
      <c r="V40" s="10" t="inlineStr">
        <is>
          <t>N2_soc</t>
        </is>
      </c>
      <c r="W40" s="10" t="inlineStr">
        <is>
          <t>新生代 新第三紀 中新世 後期ランギアン期〜トートニアン期</t>
        </is>
      </c>
      <c r="X40" s="10" t="inlineStr">
        <is>
          <t>Cenozoic Neogene Miocene late Langhian - Tortonian</t>
        </is>
      </c>
      <c r="Y40" s="10" t="inlineStr">
        <is>
          <t>海成層 礫岩</t>
        </is>
      </c>
      <c r="Z40" s="10" t="inlineStr">
        <is>
          <t>marine conglomerate</t>
        </is>
      </c>
      <c r="AA40" s="10" t="inlineStr">
        <is>
          <t>堆積岩</t>
        </is>
      </c>
      <c r="AB40" s="10" t="inlineStr">
        <is>
          <t>Sedimentary rocks</t>
        </is>
      </c>
      <c r="AC40" s="10" t="inlineStr">
        <is>
          <t>Neogene Sedimentary Basin</t>
        </is>
      </c>
    </row>
    <row r="41">
      <c r="A41" s="5" t="inlineStr">
        <is>
          <t>m200k_NJ-54-16･22_u041</t>
        </is>
      </c>
      <c r="B41" s="6" t="inlineStr">
        <is>
          <t>col_4</t>
        </is>
      </c>
      <c r="C41" s="6" t="n">
        <v>8</v>
      </c>
      <c r="D41" s="7" t="inlineStr">
        <is>
          <t>Tortonian Mudstone (Fukushima Neogene)</t>
        </is>
      </c>
      <c r="E41" s="5" t="inlineStr">
        <is>
          <t>Fukushima Neogene Sedimentary Basin</t>
        </is>
      </c>
      <c r="F41" s="6" t="inlineStr">
        <is>
          <t>Tortonian</t>
        </is>
      </c>
      <c r="G41" s="8" t="n">
        <v>7.246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Langhian</t>
        </is>
      </c>
      <c r="J41" s="8" t="n">
        <v>15.98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mudstone</t>
        </is>
      </c>
      <c r="M41" s="5" t="inlineStr"/>
      <c r="N41" s="5" t="inlineStr">
        <is>
          <t>marine</t>
        </is>
      </c>
      <c r="O41" s="5" t="inlineStr">
        <is>
          <t>Cenozoic Neogene Miocene late Langhian - Tortonian; marine mudstone [Neogene Sedimentary Basin]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N2_som</t>
        </is>
      </c>
      <c r="U41" s="5" t="inlineStr"/>
      <c r="V41" s="10" t="inlineStr">
        <is>
          <t>N2_som</t>
        </is>
      </c>
      <c r="W41" s="10" t="inlineStr">
        <is>
          <t>新生代 新第三紀 中新世 後期ランギアン期〜トートニアン期</t>
        </is>
      </c>
      <c r="X41" s="10" t="inlineStr">
        <is>
          <t>Cenozoic Neogene Miocene late Langhian - Tortonian</t>
        </is>
      </c>
      <c r="Y41" s="10" t="inlineStr">
        <is>
          <t>海成層 泥岩</t>
        </is>
      </c>
      <c r="Z41" s="10" t="inlineStr">
        <is>
          <t>marine mudstone</t>
        </is>
      </c>
      <c r="AA41" s="10" t="inlineStr">
        <is>
          <t>堆積岩</t>
        </is>
      </c>
      <c r="AB41" s="10" t="inlineStr">
        <is>
          <t>Sedimentary rocks</t>
        </is>
      </c>
      <c r="AC41" s="10" t="inlineStr">
        <is>
          <t>Neogene Sedimentary Basin</t>
        </is>
      </c>
    </row>
    <row r="42">
      <c r="A42" s="5" t="inlineStr">
        <is>
          <t>m200k_NJ-54-16･22_u043</t>
        </is>
      </c>
      <c r="B42" s="6" t="inlineStr">
        <is>
          <t>col_4</t>
        </is>
      </c>
      <c r="C42" s="6" t="n">
        <v>9</v>
      </c>
      <c r="D42" s="7" t="inlineStr">
        <is>
          <t>Tortonian Conglomerate (Fukushima Neogene)</t>
        </is>
      </c>
      <c r="E42" s="5" t="inlineStr">
        <is>
          <t>Fukushima Neogene Sedimentary Basin</t>
        </is>
      </c>
      <c r="F42" s="6" t="inlineStr">
        <is>
          <t>Tortonian</t>
        </is>
      </c>
      <c r="G42" s="8" t="n">
        <v>7.246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Langhian</t>
        </is>
      </c>
      <c r="J42" s="8" t="n">
        <v>15.98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conglomerate</t>
        </is>
      </c>
      <c r="M42" s="5" t="inlineStr"/>
      <c r="N42" s="5" t="inlineStr">
        <is>
          <t>marine</t>
        </is>
      </c>
      <c r="O42" s="5" t="inlineStr">
        <is>
          <t>Cenozoic Neogene Miocene late Langhian - Tortonian; non-marine conglomerate [Neogene Sedimentary Basin]</t>
        </is>
      </c>
      <c r="P42" s="5" t="inlineStr"/>
      <c r="Q42" s="5" t="inlineStr"/>
      <c r="R42" s="5" t="inlineStr">
        <is>
          <t>unknown</t>
        </is>
      </c>
      <c r="S42" s="5" t="inlineStr"/>
      <c r="T42" s="5" t="inlineStr">
        <is>
          <t>GSJ 200k Seamless N2_snc</t>
        </is>
      </c>
      <c r="U42" s="5" t="inlineStr"/>
      <c r="V42" s="10" t="inlineStr">
        <is>
          <t>N2_snc</t>
        </is>
      </c>
      <c r="W42" s="10" t="inlineStr">
        <is>
          <t>新生代 新第三紀 中新世 後期ランギアン期〜トートニアン期</t>
        </is>
      </c>
      <c r="X42" s="10" t="inlineStr">
        <is>
          <t>Cenozoic Neogene Miocene late Langhian - Tortonian</t>
        </is>
      </c>
      <c r="Y42" s="10" t="inlineStr">
        <is>
          <t>非海成層 礫岩</t>
        </is>
      </c>
      <c r="Z42" s="10" t="inlineStr">
        <is>
          <t>non-marine conglomerate</t>
        </is>
      </c>
      <c r="AA42" s="10" t="inlineStr">
        <is>
          <t>堆積岩</t>
        </is>
      </c>
      <c r="AB42" s="10" t="inlineStr">
        <is>
          <t>Sedimentary rocks</t>
        </is>
      </c>
      <c r="AC42" s="10" t="inlineStr">
        <is>
          <t>Neogene Sedimentary Basin</t>
        </is>
      </c>
    </row>
    <row r="43">
      <c r="A43" s="5" t="inlineStr">
        <is>
          <t>m200k_NJ-54-16･22_u033</t>
        </is>
      </c>
      <c r="B43" s="6" t="inlineStr">
        <is>
          <t>col_4</t>
        </is>
      </c>
      <c r="C43" s="6" t="n">
        <v>10</v>
      </c>
      <c r="D43" s="7" t="inlineStr">
        <is>
          <t>Pliocene Conglomerate (Fukushima Neogene)</t>
        </is>
      </c>
      <c r="E43" s="5" t="inlineStr">
        <is>
          <t>Fukushima Neogene Sedimentary Basin</t>
        </is>
      </c>
      <c r="F43" s="6" t="inlineStr">
        <is>
          <t>Pliocene</t>
        </is>
      </c>
      <c r="G43" s="8" t="n">
        <v>2.58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Messinian</t>
        </is>
      </c>
      <c r="J43" s="8" t="n">
        <v>7.246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conglomerate</t>
        </is>
      </c>
      <c r="M43" s="5" t="inlineStr"/>
      <c r="N43" s="5" t="inlineStr">
        <is>
          <t>marine</t>
        </is>
      </c>
      <c r="O43" s="5" t="inlineStr">
        <is>
          <t>Cenozoic Neogene Miocene Messinian - Pliocene; non-marine conglomerate [Neogene Sedimentary Basin]</t>
        </is>
      </c>
      <c r="P43" s="5" t="inlineStr"/>
      <c r="Q43" s="5" t="inlineStr"/>
      <c r="R43" s="5" t="inlineStr">
        <is>
          <t>unknown</t>
        </is>
      </c>
      <c r="S43" s="5" t="inlineStr"/>
      <c r="T43" s="5" t="inlineStr">
        <is>
          <t>GSJ 200k Seamless N3_snc</t>
        </is>
      </c>
      <c r="U43" s="5" t="inlineStr"/>
      <c r="V43" s="10" t="inlineStr">
        <is>
          <t>N3_snc</t>
        </is>
      </c>
      <c r="W43" s="10" t="inlineStr">
        <is>
          <t>新生代 新第三紀 中新世 メッシニアン期〜鮮新世</t>
        </is>
      </c>
      <c r="X43" s="10" t="inlineStr">
        <is>
          <t>Cenozoic Neogene Miocene Messinian - Pliocene</t>
        </is>
      </c>
      <c r="Y43" s="10" t="inlineStr">
        <is>
          <t>非海成層 礫岩</t>
        </is>
      </c>
      <c r="Z43" s="10" t="inlineStr">
        <is>
          <t>non-marine conglomerate</t>
        </is>
      </c>
      <c r="AA43" s="10" t="inlineStr">
        <is>
          <t>堆積岩</t>
        </is>
      </c>
      <c r="AB43" s="10" t="inlineStr">
        <is>
          <t>Sedimentary rocks</t>
        </is>
      </c>
      <c r="AC43" s="10" t="inlineStr">
        <is>
          <t>Neogene Sedimentary Basin</t>
        </is>
      </c>
    </row>
    <row r="44">
      <c r="A44" s="5" t="inlineStr">
        <is>
          <t>m200k_NJ-54-16･22_u037</t>
        </is>
      </c>
      <c r="B44" s="6" t="inlineStr">
        <is>
          <t>col_4</t>
        </is>
      </c>
      <c r="C44" s="6" t="n">
        <v>11</v>
      </c>
      <c r="D44" s="7" t="inlineStr">
        <is>
          <t>Pliocene Sandstone (Fukushima Neogene)</t>
        </is>
      </c>
      <c r="E44" s="5" t="inlineStr">
        <is>
          <t>Fukushima Neogene Sedimentary Basin</t>
        </is>
      </c>
      <c r="F44" s="6" t="inlineStr">
        <is>
          <t>Pliocene</t>
        </is>
      </c>
      <c r="G44" s="8" t="n">
        <v>2.58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Messinian</t>
        </is>
      </c>
      <c r="J44" s="8" t="n">
        <v>7.246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sandstone</t>
        </is>
      </c>
      <c r="M44" s="5" t="inlineStr">
        <is>
          <t>mudstone</t>
        </is>
      </c>
      <c r="N44" s="5" t="inlineStr">
        <is>
          <t>marine</t>
        </is>
      </c>
      <c r="O44" s="5" t="inlineStr">
        <is>
          <t>Cenozoic Neogene Miocene Messinian - Pliocene; brackish, or marine &amp; non-marine  mixture sandstone, alternation of sandstone &amp; mudstone or sandstone &amp; mudstone  [Neogene Sedimentary Basin]</t>
        </is>
      </c>
      <c r="P44" s="5" t="inlineStr"/>
      <c r="Q44" s="5" t="inlineStr"/>
      <c r="R44" s="5" t="inlineStr">
        <is>
          <t>unknown</t>
        </is>
      </c>
      <c r="S44" s="5" t="inlineStr"/>
      <c r="T44" s="5" t="inlineStr">
        <is>
          <t>GSJ 200k Seamless N3_sbs</t>
        </is>
      </c>
      <c r="U44" s="5" t="inlineStr"/>
      <c r="V44" s="10" t="inlineStr">
        <is>
          <t>N3_sbs</t>
        </is>
      </c>
      <c r="W44" s="10" t="inlineStr">
        <is>
          <t>新生代 新第三紀 中新世 メッシニアン期〜鮮新世</t>
        </is>
      </c>
      <c r="X44" s="10" t="inlineStr">
        <is>
          <t>Cenozoic Neogene Miocene Messinian - Pliocene</t>
        </is>
      </c>
      <c r="Y44" s="10" t="inlineStr">
        <is>
          <t>汽水成層ないし海成・非海成混合層 砂岩，砂岩泥岩互層ないし砂岩・泥岩</t>
        </is>
      </c>
      <c r="Z44" s="10" t="inlineStr">
        <is>
          <t xml:space="preserve">brackish, or marine &amp; non-marine  mixture sandstone, alternation of sandstone &amp; mudstone or sandstone &amp; mudstone </t>
        </is>
      </c>
      <c r="AA44" s="10" t="inlineStr">
        <is>
          <t>堆積岩</t>
        </is>
      </c>
      <c r="AB44" s="10" t="inlineStr">
        <is>
          <t>Sedimentary rocks</t>
        </is>
      </c>
      <c r="AC44" s="10" t="inlineStr">
        <is>
          <t>Neogene Sedimentary Basin</t>
        </is>
      </c>
    </row>
    <row r="45">
      <c r="A45" s="5" t="inlineStr">
        <is>
          <t>m200k_NJ-54-16･22_u038</t>
        </is>
      </c>
      <c r="B45" s="6" t="inlineStr">
        <is>
          <t>col_4</t>
        </is>
      </c>
      <c r="C45" s="6" t="n">
        <v>12</v>
      </c>
      <c r="D45" s="7" t="inlineStr">
        <is>
          <t>Pliocene Sandstone (Fukushima Neogene)</t>
        </is>
      </c>
      <c r="E45" s="5" t="inlineStr">
        <is>
          <t>Fukushima Neogene Sedimentary Basin</t>
        </is>
      </c>
      <c r="F45" s="6" t="inlineStr">
        <is>
          <t>Pliocene</t>
        </is>
      </c>
      <c r="G45" s="8" t="n">
        <v>2.58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Messinian</t>
        </is>
      </c>
      <c r="J45" s="8" t="n">
        <v>7.246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sandstone</t>
        </is>
      </c>
      <c r="M45" s="5" t="inlineStr">
        <is>
          <t>mudstone</t>
        </is>
      </c>
      <c r="N45" s="5" t="inlineStr">
        <is>
          <t>marine</t>
        </is>
      </c>
      <c r="O45" s="5" t="inlineStr">
        <is>
          <t>Cenozoic Neogene Miocene Messinian - Pliocene; non-marine sandstone, or alternation of sandstone &amp; mudstone or sandstone &amp; mudstone [Neogene Sedimentary Basin]</t>
        </is>
      </c>
      <c r="P45" s="5" t="inlineStr"/>
      <c r="Q45" s="5" t="inlineStr"/>
      <c r="R45" s="5" t="inlineStr">
        <is>
          <t>unknown</t>
        </is>
      </c>
      <c r="S45" s="5" t="inlineStr"/>
      <c r="T45" s="5" t="inlineStr">
        <is>
          <t>GSJ 200k Seamless N3_sns</t>
        </is>
      </c>
      <c r="U45" s="5" t="inlineStr"/>
      <c r="V45" s="10" t="inlineStr">
        <is>
          <t>N3_sns</t>
        </is>
      </c>
      <c r="W45" s="10" t="inlineStr">
        <is>
          <t>新生代 新第三紀 中新世 メッシニアン期〜鮮新世</t>
        </is>
      </c>
      <c r="X45" s="10" t="inlineStr">
        <is>
          <t>Cenozoic Neogene Miocene Messinian - Pliocene</t>
        </is>
      </c>
      <c r="Y45" s="10" t="inlineStr">
        <is>
          <t>非海成層 砂岩，砂岩泥岩互層ないし砂岩・泥岩</t>
        </is>
      </c>
      <c r="Z45" s="10" t="inlineStr">
        <is>
          <t>non-marine sandstone, or alternation of sandstone &amp; mudstone or sandstone &amp; mudstone</t>
        </is>
      </c>
      <c r="AA45" s="10" t="inlineStr">
        <is>
          <t>堆積岩</t>
        </is>
      </c>
      <c r="AB45" s="10" t="inlineStr">
        <is>
          <t>Sedimentary rocks</t>
        </is>
      </c>
      <c r="AC45" s="10" t="inlineStr">
        <is>
          <t>Neogene Sedimentary Basin</t>
        </is>
      </c>
    </row>
    <row r="46">
      <c r="A46" s="5" t="inlineStr">
        <is>
          <t>m200k_NJ-54-16･22_u044</t>
        </is>
      </c>
      <c r="B46" s="6" t="inlineStr">
        <is>
          <t>col_4</t>
        </is>
      </c>
      <c r="C46" s="6" t="n">
        <v>13</v>
      </c>
      <c r="D46" s="7" t="inlineStr">
        <is>
          <t>Pliocene Mudstone (Fukushima Neogene)</t>
        </is>
      </c>
      <c r="E46" s="5" t="inlineStr">
        <is>
          <t>Fukushima Neogene Sedimentary Basin</t>
        </is>
      </c>
      <c r="F46" s="6" t="inlineStr">
        <is>
          <t>Pliocene</t>
        </is>
      </c>
      <c r="G46" s="8" t="n">
        <v>2.58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Messinian</t>
        </is>
      </c>
      <c r="J46" s="8" t="n">
        <v>7.246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mudstone</t>
        </is>
      </c>
      <c r="M46" s="5" t="inlineStr"/>
      <c r="N46" s="5" t="inlineStr">
        <is>
          <t>marine</t>
        </is>
      </c>
      <c r="O46" s="5" t="inlineStr">
        <is>
          <t>Cenozoic Neogene Miocene Messinian - Pliocene; marine mudstone [Neogene Sedimentary Basin]</t>
        </is>
      </c>
      <c r="P46" s="5" t="inlineStr"/>
      <c r="Q46" s="5" t="inlineStr"/>
      <c r="R46" s="5" t="inlineStr">
        <is>
          <t>unknown</t>
        </is>
      </c>
      <c r="S46" s="5" t="inlineStr"/>
      <c r="T46" s="5" t="inlineStr">
        <is>
          <t>GSJ 200k Seamless N3_som</t>
        </is>
      </c>
      <c r="U46" s="5" t="inlineStr"/>
      <c r="V46" s="10" t="inlineStr">
        <is>
          <t>N3_som</t>
        </is>
      </c>
      <c r="W46" s="10" t="inlineStr">
        <is>
          <t>新生代 新第三紀 中新世 メッシニアン期〜鮮新世</t>
        </is>
      </c>
      <c r="X46" s="10" t="inlineStr">
        <is>
          <t>Cenozoic Neogene Miocene Messinian - Pliocene</t>
        </is>
      </c>
      <c r="Y46" s="10" t="inlineStr">
        <is>
          <t>海成層 泥岩</t>
        </is>
      </c>
      <c r="Z46" s="10" t="inlineStr">
        <is>
          <t>marine mudstone</t>
        </is>
      </c>
      <c r="AA46" s="10" t="inlineStr">
        <is>
          <t>堆積岩</t>
        </is>
      </c>
      <c r="AB46" s="10" t="inlineStr">
        <is>
          <t>Sedimentary rocks</t>
        </is>
      </c>
      <c r="AC46" s="10" t="inlineStr">
        <is>
          <t>Neogene Sedimentary Basin</t>
        </is>
      </c>
    </row>
    <row r="47">
      <c r="A47" s="5" t="inlineStr">
        <is>
          <t>m200k_NJ-54-16･22_u054</t>
        </is>
      </c>
      <c r="B47" s="6" t="inlineStr">
        <is>
          <t>col_5</t>
        </is>
      </c>
      <c r="C47" s="6" t="n">
        <v>1</v>
      </c>
      <c r="D47" s="7" t="inlineStr">
        <is>
          <t>Silurian Granite (Fukushima Metamorphic)</t>
        </is>
      </c>
      <c r="E47" s="5" t="inlineStr">
        <is>
          <t>Fukushima Metamorphic Belt</t>
        </is>
      </c>
      <c r="F47" s="6" t="inlineStr">
        <is>
          <t>Silurian</t>
        </is>
      </c>
      <c r="G47" s="8" t="n">
        <v>419.62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Ordovician</t>
        </is>
      </c>
      <c r="J47" s="8" t="n">
        <v>486.85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granite</t>
        </is>
      </c>
      <c r="M47" s="5" t="inlineStr"/>
      <c r="N47" s="5" t="inlineStr">
        <is>
          <t>plutonic</t>
        </is>
      </c>
      <c r="O47" s="5" t="inlineStr">
        <is>
          <t>Paleozoic Ordovician - Silurian; gneissose granite island arc &amp; continental [Metamorphic Belt]</t>
        </is>
      </c>
      <c r="P47" s="5" t="inlineStr"/>
      <c r="Q47" s="5" t="inlineStr"/>
      <c r="R47" s="5" t="inlineStr">
        <is>
          <t>unknown</t>
        </is>
      </c>
      <c r="S47" s="5" t="inlineStr"/>
      <c r="T47" s="5" t="inlineStr">
        <is>
          <t>GSJ 200k Seamless O-S_pan_a</t>
        </is>
      </c>
      <c r="U47" s="5" t="inlineStr"/>
      <c r="V47" s="10" t="inlineStr">
        <is>
          <t>O-S_pan_a</t>
        </is>
      </c>
      <c r="W47" s="10" t="inlineStr">
        <is>
          <t>古生代 オルドビス紀〜シルル紀</t>
        </is>
      </c>
      <c r="X47" s="10" t="inlineStr">
        <is>
          <t>Paleozoic Ordovician - Silurian</t>
        </is>
      </c>
      <c r="Y47" s="10" t="inlineStr">
        <is>
          <t>花崗岩 片麻状 島弧・大陸</t>
        </is>
      </c>
      <c r="Z47" s="10" t="inlineStr">
        <is>
          <t>gneissose granite island arc &amp; continental</t>
        </is>
      </c>
      <c r="AA47" s="10" t="inlineStr">
        <is>
          <t>火成岩</t>
        </is>
      </c>
      <c r="AB47" s="10" t="inlineStr">
        <is>
          <t>Igneous rocks</t>
        </is>
      </c>
      <c r="AC47" s="10" t="inlineStr">
        <is>
          <t>Metamorphic Belt</t>
        </is>
      </c>
    </row>
    <row r="48">
      <c r="A48" s="5" t="inlineStr">
        <is>
          <t>m200k_NJ-54-16･22_u046</t>
        </is>
      </c>
      <c r="B48" s="6" t="inlineStr">
        <is>
          <t>col_5</t>
        </is>
      </c>
      <c r="C48" s="6" t="n">
        <v>2</v>
      </c>
      <c r="D48" s="7" t="inlineStr">
        <is>
          <t>Cisuralian Schist (Fukushima Metamorphic)</t>
        </is>
      </c>
      <c r="E48" s="5" t="inlineStr">
        <is>
          <t>Fukushima Metamorphic Belt</t>
        </is>
      </c>
      <c r="F48" s="6" t="inlineStr">
        <is>
          <t>Cisuralian</t>
        </is>
      </c>
      <c r="G48" s="8" t="n">
        <v>274.4</v>
      </c>
      <c r="H48" s="9">
        <f>IF(OR($F48="",$G48=""),"",IFERROR((VLOOKUP($F48,intervals!$A:$C,2,FALSE)-$G48)/(VLOOKUP($F48,intervals!$A:$C,2,FALSE)-VLOOKUP($F48,intervals!$A:$C,3,FALSE)),""))</f>
        <v/>
      </c>
      <c r="I48" s="6" t="inlineStr">
        <is>
          <t>Devonian</t>
        </is>
      </c>
      <c r="J48" s="8" t="n">
        <v>419.62</v>
      </c>
      <c r="K48" s="9">
        <f>IF(OR($I48="",$J48=""),"",IFERROR((VLOOKUP($I48,intervals!$A:$C,2,FALSE)-$J48)/(VLOOKUP($I48,intervals!$A:$C,2,FALSE)-VLOOKUP($I48,intervals!$A:$C,3,FALSE)),""))</f>
        <v/>
      </c>
      <c r="L48" s="7" t="inlineStr">
        <is>
          <t>schist</t>
        </is>
      </c>
      <c r="M48" s="5" t="inlineStr">
        <is>
          <t>metamorphic</t>
        </is>
      </c>
      <c r="N48" s="5" t="inlineStr">
        <is>
          <t>metamorphic</t>
        </is>
      </c>
      <c r="O48" s="5" t="inlineStr">
        <is>
          <t>Paleozoic Late Devonian - Permian Cisuralian; pelitic schist chlorite zone of high P/T regional metamorphic rocks [Metamorphic Belt]</t>
        </is>
      </c>
      <c r="P48" s="5" t="inlineStr"/>
      <c r="Q48" s="5" t="inlineStr"/>
      <c r="R48" s="5" t="inlineStr">
        <is>
          <t>unknown</t>
        </is>
      </c>
      <c r="S48" s="5" t="inlineStr"/>
      <c r="T48" s="5" t="inlineStr">
        <is>
          <t>GSJ 200k Seamless D3-P1_mscpe_hc</t>
        </is>
      </c>
      <c r="U48" s="5" t="inlineStr"/>
      <c r="V48" s="10" t="inlineStr">
        <is>
          <t>D3-P1_mscpe_hc</t>
        </is>
      </c>
      <c r="W48" s="10" t="inlineStr">
        <is>
          <t>古生代 後期デボン紀〜ペルム紀 シスウラリアン世</t>
        </is>
      </c>
      <c r="X48" s="10" t="inlineStr">
        <is>
          <t>Paleozoic Late Devonian - Permian Cisuralian</t>
        </is>
      </c>
      <c r="Y48" s="10" t="inlineStr">
        <is>
          <t>泥質片岩 高P/T型広域変成岩　緑泥石帯</t>
        </is>
      </c>
      <c r="Z48" s="10" t="inlineStr">
        <is>
          <t>pelitic schist chlorite zone of high P/T regional metamorphic rocks</t>
        </is>
      </c>
      <c r="AA48" s="10" t="inlineStr">
        <is>
          <t>変成岩</t>
        </is>
      </c>
      <c r="AB48" s="10" t="inlineStr">
        <is>
          <t>Metamorphic rocks</t>
        </is>
      </c>
      <c r="AC48" s="10" t="inlineStr">
        <is>
          <t>Metamorphic Belt</t>
        </is>
      </c>
    </row>
    <row r="49">
      <c r="A49" s="5" t="inlineStr">
        <is>
          <t>m200k_NJ-54-16･22_u049</t>
        </is>
      </c>
      <c r="B49" s="6" t="inlineStr">
        <is>
          <t>col_5</t>
        </is>
      </c>
      <c r="C49" s="6" t="n">
        <v>3</v>
      </c>
      <c r="D49" s="7" t="inlineStr">
        <is>
          <t>Cisuralian Mafic (Fukushima Metamorphic)</t>
        </is>
      </c>
      <c r="E49" s="5" t="inlineStr">
        <is>
          <t>Fukushima Metamorphic Belt</t>
        </is>
      </c>
      <c r="F49" s="6" t="inlineStr">
        <is>
          <t>Cisuralian</t>
        </is>
      </c>
      <c r="G49" s="8" t="n">
        <v>274.4</v>
      </c>
      <c r="H49" s="9">
        <f>IF(OR($F49="",$G49=""),"",IFERROR((VLOOKUP($F49,intervals!$A:$C,2,FALSE)-$G49)/(VLOOKUP($F49,intervals!$A:$C,2,FALSE)-VLOOKUP($F49,intervals!$A:$C,3,FALSE)),""))</f>
        <v/>
      </c>
      <c r="I49" s="6" t="inlineStr">
        <is>
          <t>Devonian</t>
        </is>
      </c>
      <c r="J49" s="8" t="n">
        <v>419.62</v>
      </c>
      <c r="K49" s="9">
        <f>IF(OR($I49="",$J49=""),"",IFERROR((VLOOKUP($I49,intervals!$A:$C,2,FALSE)-$J49)/(VLOOKUP($I49,intervals!$A:$C,2,FALSE)-VLOOKUP($I49,intervals!$A:$C,3,FALSE)),""))</f>
        <v/>
      </c>
      <c r="L49" s="7" t="inlineStr">
        <is>
          <t>mafic</t>
        </is>
      </c>
      <c r="M49" s="5" t="inlineStr">
        <is>
          <t>schist</t>
        </is>
      </c>
      <c r="N49" s="5" t="inlineStr">
        <is>
          <t>metamorphic</t>
        </is>
      </c>
      <c r="O49" s="5" t="inlineStr">
        <is>
          <t>Paleozoic Late Devonian - Permian Cisuralian; mafic schist garnet zone of high P/T regional metamorphic rocks [Metamorphic Belt]</t>
        </is>
      </c>
      <c r="P49" s="5" t="inlineStr"/>
      <c r="Q49" s="5" t="inlineStr"/>
      <c r="R49" s="5" t="inlineStr">
        <is>
          <t>unknown</t>
        </is>
      </c>
      <c r="S49" s="5" t="inlineStr"/>
      <c r="T49" s="5" t="inlineStr">
        <is>
          <t>GSJ 200k Seamless D3-P1_mscma_hg</t>
        </is>
      </c>
      <c r="U49" s="5" t="inlineStr"/>
      <c r="V49" s="10" t="inlineStr">
        <is>
          <t>D3-P1_mscma_hg</t>
        </is>
      </c>
      <c r="W49" s="10" t="inlineStr">
        <is>
          <t>古生代 後期デボン紀〜ペルム紀 シスウラリアン世</t>
        </is>
      </c>
      <c r="X49" s="10" t="inlineStr">
        <is>
          <t>Paleozoic Late Devonian - Permian Cisuralian</t>
        </is>
      </c>
      <c r="Y49" s="10" t="inlineStr">
        <is>
          <t>苦鉄質片岩 高P/T型広域変成岩　ざくろ石帯</t>
        </is>
      </c>
      <c r="Z49" s="10" t="inlineStr">
        <is>
          <t>mafic schist garnet zone of high P/T regional metamorphic rocks</t>
        </is>
      </c>
      <c r="AA49" s="10" t="inlineStr">
        <is>
          <t>変成岩</t>
        </is>
      </c>
      <c r="AB49" s="10" t="inlineStr">
        <is>
          <t>Metamorphic rocks</t>
        </is>
      </c>
      <c r="AC49" s="10" t="inlineStr">
        <is>
          <t>Metamorphic Belt</t>
        </is>
      </c>
    </row>
    <row r="50">
      <c r="A50" s="5" t="inlineStr">
        <is>
          <t>m200k_NJ-54-16･22_u050</t>
        </is>
      </c>
      <c r="B50" s="6" t="inlineStr">
        <is>
          <t>col_5</t>
        </is>
      </c>
      <c r="C50" s="6" t="n">
        <v>4</v>
      </c>
      <c r="D50" s="7" t="inlineStr">
        <is>
          <t>Cisuralian Mafic (Fukushima Metamorphic)</t>
        </is>
      </c>
      <c r="E50" s="5" t="inlineStr">
        <is>
          <t>Fukushima Metamorphic Belt</t>
        </is>
      </c>
      <c r="F50" s="6" t="inlineStr">
        <is>
          <t>Cisuralian</t>
        </is>
      </c>
      <c r="G50" s="8" t="n">
        <v>274.4</v>
      </c>
      <c r="H50" s="9">
        <f>IF(OR($F50="",$G50=""),"",IFERROR((VLOOKUP($F50,intervals!$A:$C,2,FALSE)-$G50)/(VLOOKUP($F50,intervals!$A:$C,2,FALSE)-VLOOKUP($F50,intervals!$A:$C,3,FALSE)),""))</f>
        <v/>
      </c>
      <c r="I50" s="6" t="inlineStr">
        <is>
          <t>Devonian</t>
        </is>
      </c>
      <c r="J50" s="8" t="n">
        <v>419.62</v>
      </c>
      <c r="K50" s="9">
        <f>IF(OR($I50="",$J50=""),"",IFERROR((VLOOKUP($I50,intervals!$A:$C,2,FALSE)-$J50)/(VLOOKUP($I50,intervals!$A:$C,2,FALSE)-VLOOKUP($I50,intervals!$A:$C,3,FALSE)),""))</f>
        <v/>
      </c>
      <c r="L50" s="7" t="inlineStr">
        <is>
          <t>mafic</t>
        </is>
      </c>
      <c r="M50" s="5" t="inlineStr">
        <is>
          <t>schist</t>
        </is>
      </c>
      <c r="N50" s="5" t="inlineStr">
        <is>
          <t>metamorphic</t>
        </is>
      </c>
      <c r="O50" s="5" t="inlineStr">
        <is>
          <t>Paleozoic Late Devonian - Permian Cisuralian; mafic schist chlorite zone of high P/T regional metamorphic rocks [Metamorphic Belt]</t>
        </is>
      </c>
      <c r="P50" s="5" t="inlineStr"/>
      <c r="Q50" s="5" t="inlineStr"/>
      <c r="R50" s="5" t="inlineStr">
        <is>
          <t>unknown</t>
        </is>
      </c>
      <c r="S50" s="5" t="inlineStr"/>
      <c r="T50" s="5" t="inlineStr">
        <is>
          <t>GSJ 200k Seamless D3-P1_mscma_hc</t>
        </is>
      </c>
      <c r="U50" s="5" t="inlineStr"/>
      <c r="V50" s="10" t="inlineStr">
        <is>
          <t>D3-P1_mscma_hc</t>
        </is>
      </c>
      <c r="W50" s="10" t="inlineStr">
        <is>
          <t>古生代 後期デボン紀〜ペルム紀 シスウラリアン世</t>
        </is>
      </c>
      <c r="X50" s="10" t="inlineStr">
        <is>
          <t>Paleozoic Late Devonian - Permian Cisuralian</t>
        </is>
      </c>
      <c r="Y50" s="10" t="inlineStr">
        <is>
          <t>苦鉄質片岩 高P/T型広域変成岩　緑泥石帯</t>
        </is>
      </c>
      <c r="Z50" s="10" t="inlineStr">
        <is>
          <t>mafic schist chlorite zone of high P/T regional metamorphic rocks</t>
        </is>
      </c>
      <c r="AA50" s="10" t="inlineStr">
        <is>
          <t>変成岩</t>
        </is>
      </c>
      <c r="AB50" s="10" t="inlineStr">
        <is>
          <t>Metamorphic rocks</t>
        </is>
      </c>
      <c r="AC50" s="10" t="inlineStr">
        <is>
          <t>Metamorphic Belt</t>
        </is>
      </c>
    </row>
    <row r="51">
      <c r="A51" s="5" t="inlineStr">
        <is>
          <t>m200k_NJ-54-16･22_u051</t>
        </is>
      </c>
      <c r="B51" s="6" t="inlineStr">
        <is>
          <t>col_5</t>
        </is>
      </c>
      <c r="C51" s="6" t="n">
        <v>5</v>
      </c>
      <c r="D51" s="7" t="inlineStr">
        <is>
          <t>Cisuralian Schist (Fukushima Metamorphic)</t>
        </is>
      </c>
      <c r="E51" s="5" t="inlineStr">
        <is>
          <t>Fukushima Metamorphic Belt</t>
        </is>
      </c>
      <c r="F51" s="6" t="inlineStr">
        <is>
          <t>Cisuralian</t>
        </is>
      </c>
      <c r="G51" s="8" t="n">
        <v>274.4</v>
      </c>
      <c r="H51" s="9">
        <f>IF(OR($F51="",$G51=""),"",IFERROR((VLOOKUP($F51,intervals!$A:$C,2,FALSE)-$G51)/(VLOOKUP($F51,intervals!$A:$C,2,FALSE)-VLOOKUP($F51,intervals!$A:$C,3,FALSE)),""))</f>
        <v/>
      </c>
      <c r="I51" s="6" t="inlineStr">
        <is>
          <t>Devonian</t>
        </is>
      </c>
      <c r="J51" s="8" t="n">
        <v>419.62</v>
      </c>
      <c r="K51" s="9">
        <f>IF(OR($I51="",$J51=""),"",IFERROR((VLOOKUP($I51,intervals!$A:$C,2,FALSE)-$J51)/(VLOOKUP($I51,intervals!$A:$C,2,FALSE)-VLOOKUP($I51,intervals!$A:$C,3,FALSE)),""))</f>
        <v/>
      </c>
      <c r="L51" s="7" t="inlineStr">
        <is>
          <t>schist</t>
        </is>
      </c>
      <c r="M51" s="5" t="inlineStr">
        <is>
          <t>metamorphic</t>
        </is>
      </c>
      <c r="N51" s="5" t="inlineStr">
        <is>
          <t>metamorphic</t>
        </is>
      </c>
      <c r="O51" s="5" t="inlineStr">
        <is>
          <t>Paleozoic Late Devonian - Permian Cisuralian; pelitic schist garnet zone of high P/T regional metamorphic rocks [Metamorphic Belt]</t>
        </is>
      </c>
      <c r="P51" s="5" t="inlineStr"/>
      <c r="Q51" s="5" t="inlineStr"/>
      <c r="R51" s="5" t="inlineStr">
        <is>
          <t>unknown</t>
        </is>
      </c>
      <c r="S51" s="5" t="inlineStr"/>
      <c r="T51" s="5" t="inlineStr">
        <is>
          <t>GSJ 200k Seamless D3-P1_mscpe_hg</t>
        </is>
      </c>
      <c r="U51" s="5" t="inlineStr"/>
      <c r="V51" s="10" t="inlineStr">
        <is>
          <t>D3-P1_mscpe_hg</t>
        </is>
      </c>
      <c r="W51" s="10" t="inlineStr">
        <is>
          <t>古生代 後期デボン紀〜ペルム紀 シスウラリアン世</t>
        </is>
      </c>
      <c r="X51" s="10" t="inlineStr">
        <is>
          <t>Paleozoic Late Devonian - Permian Cisuralian</t>
        </is>
      </c>
      <c r="Y51" s="10" t="inlineStr">
        <is>
          <t>泥質片岩 高P/T型広域変成岩　ざくろ石帯</t>
        </is>
      </c>
      <c r="Z51" s="10" t="inlineStr">
        <is>
          <t>pelitic schist garnet zone of high P/T regional metamorphic rocks</t>
        </is>
      </c>
      <c r="AA51" s="10" t="inlineStr">
        <is>
          <t>変成岩</t>
        </is>
      </c>
      <c r="AB51" s="10" t="inlineStr">
        <is>
          <t>Metamorphic rocks</t>
        </is>
      </c>
      <c r="AC51" s="10" t="inlineStr">
        <is>
          <t>Metamorphic Belt</t>
        </is>
      </c>
    </row>
    <row r="52">
      <c r="A52" s="5" t="inlineStr">
        <is>
          <t>m200k_NJ-54-16･22_u052</t>
        </is>
      </c>
      <c r="B52" s="6" t="inlineStr">
        <is>
          <t>col_5</t>
        </is>
      </c>
      <c r="C52" s="6" t="n">
        <v>6</v>
      </c>
      <c r="D52" s="7" t="inlineStr">
        <is>
          <t>Cisuralian Serpentinite (Fukushima Metamorphic)</t>
        </is>
      </c>
      <c r="E52" s="5" t="inlineStr">
        <is>
          <t>Fukushima Metamorphic Belt</t>
        </is>
      </c>
      <c r="F52" s="6" t="inlineStr">
        <is>
          <t>Cisuralian</t>
        </is>
      </c>
      <c r="G52" s="8" t="n">
        <v>274.4</v>
      </c>
      <c r="H52" s="9">
        <f>IF(OR($F52="",$G52=""),"",IFERROR((VLOOKUP($F52,intervals!$A:$C,2,FALSE)-$G52)/(VLOOKUP($F52,intervals!$A:$C,2,FALSE)-VLOOKUP($F52,intervals!$A:$C,3,FALSE)),""))</f>
        <v/>
      </c>
      <c r="I52" s="6" t="inlineStr">
        <is>
          <t>Devonian</t>
        </is>
      </c>
      <c r="J52" s="8" t="n">
        <v>419.62</v>
      </c>
      <c r="K52" s="9">
        <f>IF(OR($I52="",$J52=""),"",IFERROR((VLOOKUP($I52,intervals!$A:$C,2,FALSE)-$J52)/(VLOOKUP($I52,intervals!$A:$C,2,FALSE)-VLOOKUP($I52,intervals!$A:$C,3,FALSE)),""))</f>
        <v/>
      </c>
      <c r="L52" s="7" t="inlineStr">
        <is>
          <t>serpentinite</t>
        </is>
      </c>
      <c r="M52" s="5" t="inlineStr">
        <is>
          <t>metamorphic</t>
        </is>
      </c>
      <c r="N52" s="5" t="inlineStr">
        <is>
          <t>metamorphic</t>
        </is>
      </c>
      <c r="O52" s="5" t="inlineStr">
        <is>
          <t>Paleozoic Late Devonian - Permian Cisuralian; serpentinite chlorite zone of high P/T regional metamorphic rocks [Metamorphic Belt]</t>
        </is>
      </c>
      <c r="P52" s="5" t="inlineStr"/>
      <c r="Q52" s="5" t="inlineStr"/>
      <c r="R52" s="5" t="inlineStr">
        <is>
          <t>unknown</t>
        </is>
      </c>
      <c r="S52" s="5" t="inlineStr"/>
      <c r="T52" s="5" t="inlineStr">
        <is>
          <t>GSJ 200k Seamless D3-P1_msp_hc</t>
        </is>
      </c>
      <c r="U52" s="5" t="inlineStr"/>
      <c r="V52" s="10" t="inlineStr">
        <is>
          <t>D3-P1_msp_hc</t>
        </is>
      </c>
      <c r="W52" s="10" t="inlineStr">
        <is>
          <t>古生代 後期デボン紀〜ペルム紀 シスウラリアン世</t>
        </is>
      </c>
      <c r="X52" s="10" t="inlineStr">
        <is>
          <t>Paleozoic Late Devonian - Permian Cisuralian</t>
        </is>
      </c>
      <c r="Y52" s="10" t="inlineStr">
        <is>
          <t>蛇紋岩  高P/T型広域変成岩　緑泥石帯</t>
        </is>
      </c>
      <c r="Z52" s="10" t="inlineStr">
        <is>
          <t>serpentinite chlorite zone of high P/T regional metamorphic rocks</t>
        </is>
      </c>
      <c r="AA52" s="10" t="inlineStr">
        <is>
          <t>変成岩</t>
        </is>
      </c>
      <c r="AB52" s="10" t="inlineStr">
        <is>
          <t>Metamorphic rocks</t>
        </is>
      </c>
      <c r="AC52" s="10" t="inlineStr">
        <is>
          <t>Metamorphic Belt</t>
        </is>
      </c>
    </row>
    <row r="53">
      <c r="A53" s="5" t="inlineStr">
        <is>
          <t>m200k_NJ-54-16･22_u047</t>
        </is>
      </c>
      <c r="B53" s="6" t="inlineStr">
        <is>
          <t>col_5</t>
        </is>
      </c>
      <c r="C53" s="6" t="n">
        <v>7</v>
      </c>
      <c r="D53" s="7" t="inlineStr">
        <is>
          <t>Albian Schist (Fukushima Metamorphic)</t>
        </is>
      </c>
      <c r="E53" s="5" t="inlineStr">
        <is>
          <t>Fukushima Metamorphic Belt</t>
        </is>
      </c>
      <c r="F53" s="6" t="inlineStr">
        <is>
          <t>Albian</t>
        </is>
      </c>
      <c r="G53" s="8" t="n">
        <v>100.5</v>
      </c>
      <c r="H53" s="9">
        <f>IF(OR($F53="",$G53=""),"",IFERROR((VLOOKUP($F53,intervals!$A:$C,2,FALSE)-$G53)/(VLOOKUP($F53,intervals!$A:$C,2,FALSE)-VLOOKUP($F53,intervals!$A:$C,3,FALSE)),""))</f>
        <v/>
      </c>
      <c r="I53" s="6" t="inlineStr">
        <is>
          <t>Aptian</t>
        </is>
      </c>
      <c r="J53" s="8" t="n">
        <v>121.4</v>
      </c>
      <c r="K53" s="9">
        <f>IF(OR($I53="",$J53=""),"",IFERROR((VLOOKUP($I53,intervals!$A:$C,2,FALSE)-$J53)/(VLOOKUP($I53,intervals!$A:$C,2,FALSE)-VLOOKUP($I53,intervals!$A:$C,3,FALSE)),""))</f>
        <v/>
      </c>
      <c r="L53" s="7" t="inlineStr">
        <is>
          <t>schist</t>
        </is>
      </c>
      <c r="M53" s="5" t="inlineStr">
        <is>
          <t>metamorphic</t>
        </is>
      </c>
      <c r="N53" s="5" t="inlineStr">
        <is>
          <t>metamorphic</t>
        </is>
      </c>
      <c r="O53" s="5" t="inlineStr">
        <is>
          <t>Mesozoic Early Cretaceous Aptian - Albian; pelitic schist biotite zone of low P/T regional metamorphic rocks [Metamorphic Belt]</t>
        </is>
      </c>
      <c r="P53" s="5" t="inlineStr"/>
      <c r="Q53" s="5" t="inlineStr"/>
      <c r="R53" s="5" t="inlineStr">
        <is>
          <t>unknown</t>
        </is>
      </c>
      <c r="S53" s="5" t="inlineStr"/>
      <c r="T53" s="5" t="inlineStr">
        <is>
          <t>GSJ 200k Seamless K12_mscpe_lb</t>
        </is>
      </c>
      <c r="U53" s="5" t="inlineStr"/>
      <c r="V53" s="10" t="inlineStr">
        <is>
          <t>K12_mscpe_lb</t>
        </is>
      </c>
      <c r="W53" s="10" t="inlineStr">
        <is>
          <t>中生代 前期白亜紀 アプチアン期〜アルビアン期</t>
        </is>
      </c>
      <c r="X53" s="10" t="inlineStr">
        <is>
          <t>Mesozoic Early Cretaceous Aptian - Albian</t>
        </is>
      </c>
      <c r="Y53" s="10" t="inlineStr">
        <is>
          <t>泥質片岩 低P/T型広域変成岩　黒雲母帯</t>
        </is>
      </c>
      <c r="Z53" s="10" t="inlineStr">
        <is>
          <t>pelitic schist biotite zone of low P/T regional metamorphic rocks</t>
        </is>
      </c>
      <c r="AA53" s="10" t="inlineStr">
        <is>
          <t>変成岩</t>
        </is>
      </c>
      <c r="AB53" s="10" t="inlineStr">
        <is>
          <t>Metamorphic rocks</t>
        </is>
      </c>
      <c r="AC53" s="10" t="inlineStr">
        <is>
          <t>Metamorphic Belt</t>
        </is>
      </c>
    </row>
    <row r="54">
      <c r="A54" s="5" t="inlineStr">
        <is>
          <t>m200k_NJ-54-16･22_u048</t>
        </is>
      </c>
      <c r="B54" s="6" t="inlineStr">
        <is>
          <t>col_5</t>
        </is>
      </c>
      <c r="C54" s="6" t="n">
        <v>8</v>
      </c>
      <c r="D54" s="7" t="inlineStr">
        <is>
          <t>Albian Serpentinite (Fukushima Metamorphic)</t>
        </is>
      </c>
      <c r="E54" s="5" t="inlineStr">
        <is>
          <t>Fukushima Metamorphic Belt</t>
        </is>
      </c>
      <c r="F54" s="6" t="inlineStr">
        <is>
          <t>Albian</t>
        </is>
      </c>
      <c r="G54" s="8" t="n">
        <v>100.5</v>
      </c>
      <c r="H54" s="9">
        <f>IF(OR($F54="",$G54=""),"",IFERROR((VLOOKUP($F54,intervals!$A:$C,2,FALSE)-$G54)/(VLOOKUP($F54,intervals!$A:$C,2,FALSE)-VLOOKUP($F54,intervals!$A:$C,3,FALSE)),""))</f>
        <v/>
      </c>
      <c r="I54" s="6" t="inlineStr">
        <is>
          <t>Aptian</t>
        </is>
      </c>
      <c r="J54" s="8" t="n">
        <v>121.4</v>
      </c>
      <c r="K54" s="9">
        <f>IF(OR($I54="",$J54=""),"",IFERROR((VLOOKUP($I54,intervals!$A:$C,2,FALSE)-$J54)/(VLOOKUP($I54,intervals!$A:$C,2,FALSE)-VLOOKUP($I54,intervals!$A:$C,3,FALSE)),""))</f>
        <v/>
      </c>
      <c r="L54" s="7" t="inlineStr">
        <is>
          <t>serpentinite</t>
        </is>
      </c>
      <c r="M54" s="5" t="inlineStr">
        <is>
          <t>metamorphic</t>
        </is>
      </c>
      <c r="N54" s="5" t="inlineStr">
        <is>
          <t>metamorphic</t>
        </is>
      </c>
      <c r="O54" s="5" t="inlineStr">
        <is>
          <t>Mesozoic Early Cretaceous Aptian - Albian; serpentinite biotite zone of low P/T regional metamorphic rocks [Metamorphic Belt]</t>
        </is>
      </c>
      <c r="P54" s="5" t="inlineStr"/>
      <c r="Q54" s="5" t="inlineStr"/>
      <c r="R54" s="5" t="inlineStr">
        <is>
          <t>unknown</t>
        </is>
      </c>
      <c r="S54" s="5" t="inlineStr"/>
      <c r="T54" s="5" t="inlineStr">
        <is>
          <t>GSJ 200k Seamless K12_msp_lb</t>
        </is>
      </c>
      <c r="U54" s="5" t="inlineStr"/>
      <c r="V54" s="10" t="inlineStr">
        <is>
          <t>K12_msp_lb</t>
        </is>
      </c>
      <c r="W54" s="10" t="inlineStr">
        <is>
          <t>中生代 前期白亜紀 アプチアン期〜アルビアン期</t>
        </is>
      </c>
      <c r="X54" s="10" t="inlineStr">
        <is>
          <t>Mesozoic Early Cretaceous Aptian - Albian</t>
        </is>
      </c>
      <c r="Y54" s="10" t="inlineStr">
        <is>
          <t>蛇紋岩  低P/T型広域変成岩　黒雲母帯</t>
        </is>
      </c>
      <c r="Z54" s="10" t="inlineStr">
        <is>
          <t>serpentinite biotite zone of low P/T regional metamorphic rocks</t>
        </is>
      </c>
      <c r="AA54" s="10" t="inlineStr">
        <is>
          <t>変成岩</t>
        </is>
      </c>
      <c r="AB54" s="10" t="inlineStr">
        <is>
          <t>Metamorphic rocks</t>
        </is>
      </c>
      <c r="AC54" s="10" t="inlineStr">
        <is>
          <t>Metamorphic Belt</t>
        </is>
      </c>
    </row>
    <row r="55">
      <c r="A55" s="5" t="inlineStr">
        <is>
          <t>m200k_NJ-54-16･22_u053</t>
        </is>
      </c>
      <c r="B55" s="6" t="inlineStr">
        <is>
          <t>col_5</t>
        </is>
      </c>
      <c r="C55" s="6" t="n">
        <v>9</v>
      </c>
      <c r="D55" s="7" t="inlineStr">
        <is>
          <t>Albian Mafic (Fukushima Metamorphic)</t>
        </is>
      </c>
      <c r="E55" s="5" t="inlineStr">
        <is>
          <t>Fukushima Metamorphic Belt</t>
        </is>
      </c>
      <c r="F55" s="6" t="inlineStr">
        <is>
          <t>Albian</t>
        </is>
      </c>
      <c r="G55" s="8" t="n">
        <v>100.5</v>
      </c>
      <c r="H55" s="9">
        <f>IF(OR($F55="",$G55=""),"",IFERROR((VLOOKUP($F55,intervals!$A:$C,2,FALSE)-$G55)/(VLOOKUP($F55,intervals!$A:$C,2,FALSE)-VLOOKUP($F55,intervals!$A:$C,3,FALSE)),""))</f>
        <v/>
      </c>
      <c r="I55" s="6" t="inlineStr">
        <is>
          <t>Aptian</t>
        </is>
      </c>
      <c r="J55" s="8" t="n">
        <v>121.4</v>
      </c>
      <c r="K55" s="9">
        <f>IF(OR($I55="",$J55=""),"",IFERROR((VLOOKUP($I55,intervals!$A:$C,2,FALSE)-$J55)/(VLOOKUP($I55,intervals!$A:$C,2,FALSE)-VLOOKUP($I55,intervals!$A:$C,3,FALSE)),""))</f>
        <v/>
      </c>
      <c r="L55" s="7" t="inlineStr">
        <is>
          <t>mafic</t>
        </is>
      </c>
      <c r="M55" s="5" t="inlineStr">
        <is>
          <t>schist</t>
        </is>
      </c>
      <c r="N55" s="5" t="inlineStr">
        <is>
          <t>metamorphic</t>
        </is>
      </c>
      <c r="O55" s="5" t="inlineStr">
        <is>
          <t>Mesozoic Early Cretaceous Aptian - Albian; mafic schist biotite zone of low P/T regional metamorphic rocks [Metamorphic Belt]</t>
        </is>
      </c>
      <c r="P55" s="5" t="inlineStr"/>
      <c r="Q55" s="5" t="inlineStr"/>
      <c r="R55" s="5" t="inlineStr">
        <is>
          <t>unknown</t>
        </is>
      </c>
      <c r="S55" s="5" t="inlineStr"/>
      <c r="T55" s="5" t="inlineStr">
        <is>
          <t>GSJ 200k Seamless K12_mscma_lb</t>
        </is>
      </c>
      <c r="U55" s="5" t="inlineStr"/>
      <c r="V55" s="10" t="inlineStr">
        <is>
          <t>K12_mscma_lb</t>
        </is>
      </c>
      <c r="W55" s="10" t="inlineStr">
        <is>
          <t>中生代 前期白亜紀 アプチアン期〜アルビアン期</t>
        </is>
      </c>
      <c r="X55" s="10" t="inlineStr">
        <is>
          <t>Mesozoic Early Cretaceous Aptian - Albian</t>
        </is>
      </c>
      <c r="Y55" s="10" t="inlineStr">
        <is>
          <t>苦鉄質片岩 低P/T型広域変成岩　黒雲母帯</t>
        </is>
      </c>
      <c r="Z55" s="10" t="inlineStr">
        <is>
          <t>mafic schist biotite zone of low P/T regional metamorphic rocks</t>
        </is>
      </c>
      <c r="AA55" s="10" t="inlineStr">
        <is>
          <t>変成岩</t>
        </is>
      </c>
      <c r="AB55" s="10" t="inlineStr">
        <is>
          <t>Metamorphic rocks</t>
        </is>
      </c>
      <c r="AC55" s="10" t="inlineStr">
        <is>
          <t>Metamorphic Belt</t>
        </is>
      </c>
    </row>
    <row r="56">
      <c r="A56" s="5" t="inlineStr">
        <is>
          <t>m200k_NJ-54-16･22_u055</t>
        </is>
      </c>
      <c r="B56" s="6" t="inlineStr">
        <is>
          <t>col_6</t>
        </is>
      </c>
      <c r="C56" s="6" t="n">
        <v>1</v>
      </c>
      <c r="D56" s="7" t="inlineStr">
        <is>
          <t>Albian Granite (Fukushima Plutonic)</t>
        </is>
      </c>
      <c r="E56" s="5" t="inlineStr">
        <is>
          <t>Fukushima Plutonic Complex</t>
        </is>
      </c>
      <c r="F56" s="6" t="inlineStr">
        <is>
          <t>Albian</t>
        </is>
      </c>
      <c r="G56" s="8" t="n">
        <v>100.5</v>
      </c>
      <c r="H56" s="9">
        <f>IF(OR($F56="",$G56=""),"",IFERROR((VLOOKUP($F56,intervals!$A:$C,2,FALSE)-$G56)/(VLOOKUP($F56,intervals!$A:$C,2,FALSE)-VLOOKUP($F56,intervals!$A:$C,3,FALSE)),""))</f>
        <v/>
      </c>
      <c r="I56" s="6" t="inlineStr">
        <is>
          <t>Aptian</t>
        </is>
      </c>
      <c r="J56" s="8" t="n">
        <v>121.4</v>
      </c>
      <c r="K56" s="9">
        <f>IF(OR($I56="",$J56=""),"",IFERROR((VLOOKUP($I56,intervals!$A:$C,2,FALSE)-$J56)/(VLOOKUP($I56,intervals!$A:$C,2,FALSE)-VLOOKUP($I56,intervals!$A:$C,3,FALSE)),""))</f>
        <v/>
      </c>
      <c r="L56" s="7" t="inlineStr">
        <is>
          <t>granite</t>
        </is>
      </c>
      <c r="M56" s="5" t="inlineStr"/>
      <c r="N56" s="5" t="inlineStr">
        <is>
          <t>plutonic</t>
        </is>
      </c>
      <c r="O56" s="5" t="inlineStr">
        <is>
          <t>Mesozoic Early Cretaceous Aptian - Albian; massive granite island arc &amp; continental [Plutonic Complex]</t>
        </is>
      </c>
      <c r="P56" s="5" t="inlineStr"/>
      <c r="Q56" s="5" t="inlineStr"/>
      <c r="R56" s="5" t="inlineStr">
        <is>
          <t>intrusive</t>
        </is>
      </c>
      <c r="S56" s="5" t="inlineStr"/>
      <c r="T56" s="5" t="inlineStr">
        <is>
          <t>GSJ 200k Seamless K12_pam_a</t>
        </is>
      </c>
      <c r="U56" s="5" t="inlineStr"/>
      <c r="V56" s="10" t="inlineStr">
        <is>
          <t>K12_pam_a</t>
        </is>
      </c>
      <c r="W56" s="10" t="inlineStr">
        <is>
          <t>中生代 前期白亜紀 アプチアン期〜アルビアン期</t>
        </is>
      </c>
      <c r="X56" s="10" t="inlineStr">
        <is>
          <t>Mesozoic Early Cretaceous Aptian - Albian</t>
        </is>
      </c>
      <c r="Y56" s="10" t="inlineStr">
        <is>
          <t>花崗岩 塊状 島弧・大陸</t>
        </is>
      </c>
      <c r="Z56" s="10" t="inlineStr">
        <is>
          <t>massive granite island arc &amp; continental</t>
        </is>
      </c>
      <c r="AA56" s="10" t="inlineStr">
        <is>
          <t>火成岩</t>
        </is>
      </c>
      <c r="AB56" s="10" t="inlineStr">
        <is>
          <t>Igneous rocks</t>
        </is>
      </c>
      <c r="AC56" s="10" t="inlineStr">
        <is>
          <t>Plutonic Complex</t>
        </is>
      </c>
    </row>
    <row r="57">
      <c r="A57" s="5" t="inlineStr">
        <is>
          <t>m200k_NJ-54-16･22_u056</t>
        </is>
      </c>
      <c r="B57" s="6" t="inlineStr">
        <is>
          <t>col_6</t>
        </is>
      </c>
      <c r="C57" s="6" t="n">
        <v>2</v>
      </c>
      <c r="D57" s="7" t="inlineStr">
        <is>
          <t>Albian Gabbro (Fukushima Plutonic)</t>
        </is>
      </c>
      <c r="E57" s="5" t="inlineStr">
        <is>
          <t>Fukushima Plutonic Complex</t>
        </is>
      </c>
      <c r="F57" s="6" t="inlineStr">
        <is>
          <t>Albian</t>
        </is>
      </c>
      <c r="G57" s="8" t="n">
        <v>100.5</v>
      </c>
      <c r="H57" s="9">
        <f>IF(OR($F57="",$G57=""),"",IFERROR((VLOOKUP($F57,intervals!$A:$C,2,FALSE)-$G57)/(VLOOKUP($F57,intervals!$A:$C,2,FALSE)-VLOOKUP($F57,intervals!$A:$C,3,FALSE)),""))</f>
        <v/>
      </c>
      <c r="I57" s="6" t="inlineStr">
        <is>
          <t>Aptian</t>
        </is>
      </c>
      <c r="J57" s="8" t="n">
        <v>121.4</v>
      </c>
      <c r="K57" s="9">
        <f>IF(OR($I57="",$J57=""),"",IFERROR((VLOOKUP($I57,intervals!$A:$C,2,FALSE)-$J57)/(VLOOKUP($I57,intervals!$A:$C,2,FALSE)-VLOOKUP($I57,intervals!$A:$C,3,FALSE)),""))</f>
        <v/>
      </c>
      <c r="L57" s="7" t="inlineStr">
        <is>
          <t>gabbro</t>
        </is>
      </c>
      <c r="M57" s="5" t="inlineStr"/>
      <c r="N57" s="5" t="inlineStr">
        <is>
          <t>plutonic</t>
        </is>
      </c>
      <c r="O57" s="5" t="inlineStr">
        <is>
          <t>Mesozoic Early Cretaceous Aptian - Albian; gabbro island arc &amp; continental [Plutonic Complex]</t>
        </is>
      </c>
      <c r="P57" s="5" t="inlineStr"/>
      <c r="Q57" s="5" t="inlineStr"/>
      <c r="R57" s="5" t="inlineStr">
        <is>
          <t>intrusive</t>
        </is>
      </c>
      <c r="S57" s="5" t="inlineStr"/>
      <c r="T57" s="5" t="inlineStr">
        <is>
          <t>GSJ 200k Seamless K12_pbg_a</t>
        </is>
      </c>
      <c r="U57" s="5" t="inlineStr"/>
      <c r="V57" s="10" t="inlineStr">
        <is>
          <t>K12_pbg_a</t>
        </is>
      </c>
      <c r="W57" s="10" t="inlineStr">
        <is>
          <t>中生代 前期白亜紀 アプチアン期〜アルビアン期</t>
        </is>
      </c>
      <c r="X57" s="10" t="inlineStr">
        <is>
          <t>Mesozoic Early Cretaceous Aptian - Albian</t>
        </is>
      </c>
      <c r="Y57" s="10" t="inlineStr">
        <is>
          <t>斑れい岩 島弧・大陸</t>
        </is>
      </c>
      <c r="Z57" s="10" t="inlineStr">
        <is>
          <t>gabbro island arc &amp; continental</t>
        </is>
      </c>
      <c r="AA57" s="10" t="inlineStr">
        <is>
          <t>火成岩</t>
        </is>
      </c>
      <c r="AB57" s="10" t="inlineStr">
        <is>
          <t>Igneous rocks</t>
        </is>
      </c>
      <c r="AC57" s="10" t="inlineStr">
        <is>
          <t>Plutonic Complex</t>
        </is>
      </c>
    </row>
    <row r="58">
      <c r="A58" s="5" t="inlineStr">
        <is>
          <t>m200k_NJ-54-16･22_u057</t>
        </is>
      </c>
      <c r="B58" s="6" t="inlineStr">
        <is>
          <t>col_6</t>
        </is>
      </c>
      <c r="C58" s="6" t="n">
        <v>3</v>
      </c>
      <c r="D58" s="7" t="inlineStr">
        <is>
          <t>Albian Diorite (Fukushima Plutonic)</t>
        </is>
      </c>
      <c r="E58" s="5" t="inlineStr">
        <is>
          <t>Fukushima Plutonic Complex</t>
        </is>
      </c>
      <c r="F58" s="6" t="inlineStr">
        <is>
          <t>Albian</t>
        </is>
      </c>
      <c r="G58" s="8" t="n">
        <v>100.5</v>
      </c>
      <c r="H58" s="9">
        <f>IF(OR($F58="",$G58=""),"",IFERROR((VLOOKUP($F58,intervals!$A:$C,2,FALSE)-$G58)/(VLOOKUP($F58,intervals!$A:$C,2,FALSE)-VLOOKUP($F58,intervals!$A:$C,3,FALSE)),""))</f>
        <v/>
      </c>
      <c r="I58" s="6" t="inlineStr">
        <is>
          <t>Aptian</t>
        </is>
      </c>
      <c r="J58" s="8" t="n">
        <v>121.4</v>
      </c>
      <c r="K58" s="9">
        <f>IF(OR($I58="",$J58=""),"",IFERROR((VLOOKUP($I58,intervals!$A:$C,2,FALSE)-$J58)/(VLOOKUP($I58,intervals!$A:$C,2,FALSE)-VLOOKUP($I58,intervals!$A:$C,3,FALSE)),""))</f>
        <v/>
      </c>
      <c r="L58" s="7" t="inlineStr">
        <is>
          <t>diorite</t>
        </is>
      </c>
      <c r="M58" s="5" t="inlineStr"/>
      <c r="N58" s="5" t="inlineStr">
        <is>
          <t>plutonic</t>
        </is>
      </c>
      <c r="O58" s="5" t="inlineStr">
        <is>
          <t>Mesozoic Early Cretaceous Aptian - Albian; diorite &amp; quartz diorite island arc &amp; continental [Plutonic Complex]</t>
        </is>
      </c>
      <c r="P58" s="5" t="inlineStr"/>
      <c r="Q58" s="5" t="inlineStr"/>
      <c r="R58" s="5" t="inlineStr">
        <is>
          <t>intrusive</t>
        </is>
      </c>
      <c r="S58" s="5" t="inlineStr"/>
      <c r="T58" s="5" t="inlineStr">
        <is>
          <t>GSJ 200k Seamless K12_pbd_a</t>
        </is>
      </c>
      <c r="U58" s="5" t="inlineStr"/>
      <c r="V58" s="10" t="inlineStr">
        <is>
          <t>K12_pbd_a</t>
        </is>
      </c>
      <c r="W58" s="10" t="inlineStr">
        <is>
          <t>中生代 前期白亜紀 アプチアン期〜アルビアン期</t>
        </is>
      </c>
      <c r="X58" s="10" t="inlineStr">
        <is>
          <t>Mesozoic Early Cretaceous Aptian - Albian</t>
        </is>
      </c>
      <c r="Y58" s="10" t="inlineStr">
        <is>
          <t>閃緑岩・石英閃緑岩 島弧・大陸</t>
        </is>
      </c>
      <c r="Z58" s="10" t="inlineStr">
        <is>
          <t>diorite &amp; quartz diorite island arc &amp; continental</t>
        </is>
      </c>
      <c r="AA58" s="10" t="inlineStr">
        <is>
          <t>火成岩</t>
        </is>
      </c>
      <c r="AB58" s="10" t="inlineStr">
        <is>
          <t>Igneous rocks</t>
        </is>
      </c>
      <c r="AC58" s="10" t="inlineStr">
        <is>
          <t>Plutonic Complex</t>
        </is>
      </c>
    </row>
    <row r="59">
      <c r="A59" s="5" t="inlineStr">
        <is>
          <t>m200k_NJ-54-16･22_u061</t>
        </is>
      </c>
      <c r="B59" s="6" t="inlineStr">
        <is>
          <t>col_7</t>
        </is>
      </c>
      <c r="C59" s="6" t="n">
        <v>1</v>
      </c>
      <c r="D59" s="7" t="inlineStr">
        <is>
          <t>Gelasian Andesite (Fukushima Quaternary)</t>
        </is>
      </c>
      <c r="E59" s="5" t="inlineStr">
        <is>
          <t>Fukushima Quaternary Volcanic Arc</t>
        </is>
      </c>
      <c r="F59" s="6" t="inlineStr">
        <is>
          <t>Gelasian</t>
        </is>
      </c>
      <c r="G59" s="8" t="n">
        <v>1.8</v>
      </c>
      <c r="H59" s="9">
        <f>IF(OR($F59="",$G59=""),"",IFERROR((VLOOKUP($F59,intervals!$A:$C,2,FALSE)-$G59)/(VLOOKUP($F59,intervals!$A:$C,2,FALSE)-VLOOKUP($F59,intervals!$A:$C,3,FALSE)),""))</f>
        <v/>
      </c>
      <c r="I59" s="6" t="inlineStr">
        <is>
          <t>Gelasian</t>
        </is>
      </c>
      <c r="J59" s="8" t="n">
        <v>2.58</v>
      </c>
      <c r="K59" s="9">
        <f>IF(OR($I59="",$J59=""),"",IFERROR((VLOOKUP($I59,intervals!$A:$C,2,FALSE)-$J59)/(VLOOKUP($I59,intervals!$A:$C,2,FALSE)-VLOOKUP($I59,intervals!$A:$C,3,FALSE)),""))</f>
        <v/>
      </c>
      <c r="L59" s="7" t="inlineStr">
        <is>
          <t>andesite</t>
        </is>
      </c>
      <c r="M59" s="5" t="inlineStr"/>
      <c r="N59" s="5" t="inlineStr">
        <is>
          <t>volcanic</t>
        </is>
      </c>
      <c r="O59" s="5" t="inlineStr">
        <is>
          <t>Cenozoic Quaternary Pleistocene Gelasian; andesite &amp; basaltic andesite lava &amp; pyroclastic rocks [Quaternary Volcanic Arc]</t>
        </is>
      </c>
      <c r="P59" s="5" t="inlineStr"/>
      <c r="Q59" s="5" t="inlineStr"/>
      <c r="R59" s="5" t="inlineStr">
        <is>
          <t>unknown</t>
        </is>
      </c>
      <c r="S59" s="5" t="inlineStr"/>
      <c r="T59" s="5" t="inlineStr">
        <is>
          <t>GSJ 200k Seamless Q11_vis_al</t>
        </is>
      </c>
      <c r="U59" s="5" t="inlineStr"/>
      <c r="V59" s="10" t="inlineStr">
        <is>
          <t>Q11_vis_al</t>
        </is>
      </c>
      <c r="W59" s="10" t="inlineStr">
        <is>
          <t>新生代 第四紀 更新世 ジェラシアン期</t>
        </is>
      </c>
      <c r="X59" s="10" t="inlineStr">
        <is>
          <t>Cenozoic Quaternary Pleistocene Gelasian</t>
        </is>
      </c>
      <c r="Y59" s="10" t="inlineStr">
        <is>
          <t>安山岩・玄武岩質安山岩 溶岩・火砕岩</t>
        </is>
      </c>
      <c r="Z59" s="10" t="inlineStr">
        <is>
          <t>andesite &amp; basaltic andesite lava &amp; pyroclastic rocks</t>
        </is>
      </c>
      <c r="AA59" s="10" t="inlineStr">
        <is>
          <t>火成岩</t>
        </is>
      </c>
      <c r="AB59" s="10" t="inlineStr">
        <is>
          <t>Igneous rocks</t>
        </is>
      </c>
      <c r="AC59" s="10" t="inlineStr">
        <is>
          <t>Quaternary Volcanic Arc</t>
        </is>
      </c>
    </row>
    <row r="60">
      <c r="A60" s="5" t="inlineStr">
        <is>
          <t>m200k_NJ-54-16･22_u066</t>
        </is>
      </c>
      <c r="B60" s="6" t="inlineStr">
        <is>
          <t>col_7</t>
        </is>
      </c>
      <c r="C60" s="6" t="n">
        <v>2</v>
      </c>
      <c r="D60" s="7" t="inlineStr">
        <is>
          <t>Gelasian Dacite (Fukushima Quaternary)</t>
        </is>
      </c>
      <c r="E60" s="5" t="inlineStr">
        <is>
          <t>Fukushima Quaternary Volcanic Arc</t>
        </is>
      </c>
      <c r="F60" s="6" t="inlineStr">
        <is>
          <t>Gelasian</t>
        </is>
      </c>
      <c r="G60" s="8" t="n">
        <v>1.8</v>
      </c>
      <c r="H60" s="9">
        <f>IF(OR($F60="",$G60=""),"",IFERROR((VLOOKUP($F60,intervals!$A:$C,2,FALSE)-$G60)/(VLOOKUP($F60,intervals!$A:$C,2,FALSE)-VLOOKUP($F60,intervals!$A:$C,3,FALSE)),""))</f>
        <v/>
      </c>
      <c r="I60" s="6" t="inlineStr">
        <is>
          <t>Gelasian</t>
        </is>
      </c>
      <c r="J60" s="8" t="n">
        <v>2.58</v>
      </c>
      <c r="K60" s="9">
        <f>IF(OR($I60="",$J60=""),"",IFERROR((VLOOKUP($I60,intervals!$A:$C,2,FALSE)-$J60)/(VLOOKUP($I60,intervals!$A:$C,2,FALSE)-VLOOKUP($I60,intervals!$A:$C,3,FALSE)),""))</f>
        <v/>
      </c>
      <c r="L60" s="7" t="inlineStr">
        <is>
          <t>dacite</t>
        </is>
      </c>
      <c r="M60" s="5" t="inlineStr">
        <is>
          <t>rhyolite</t>
        </is>
      </c>
      <c r="N60" s="5" t="inlineStr">
        <is>
          <t>volcanic</t>
        </is>
      </c>
      <c r="O60" s="5" t="inlineStr">
        <is>
          <t>Cenozoic Quaternary Pleistocene Gelasian; dacite &amp; rhyolite lava &amp; pyroclastic rocks [Quaternary Volcanic Arc]</t>
        </is>
      </c>
      <c r="P60" s="5" t="inlineStr"/>
      <c r="Q60" s="5" t="inlineStr"/>
      <c r="R60" s="5" t="inlineStr">
        <is>
          <t>unknown</t>
        </is>
      </c>
      <c r="S60" s="5" t="inlineStr"/>
      <c r="T60" s="5" t="inlineStr">
        <is>
          <t>GSJ 200k Seamless Q11_vas_al</t>
        </is>
      </c>
      <c r="U60" s="5" t="inlineStr"/>
      <c r="V60" s="10" t="inlineStr">
        <is>
          <t>Q11_vas_al</t>
        </is>
      </c>
      <c r="W60" s="10" t="inlineStr">
        <is>
          <t>新生代 第四紀 更新世 ジェラシアン期</t>
        </is>
      </c>
      <c r="X60" s="10" t="inlineStr">
        <is>
          <t>Cenozoic Quaternary Pleistocene Gelasian</t>
        </is>
      </c>
      <c r="Y60" s="10" t="inlineStr">
        <is>
          <t>デイサイト・流紋岩 溶岩・火砕岩</t>
        </is>
      </c>
      <c r="Z60" s="10" t="inlineStr">
        <is>
          <t>dacite &amp; rhyolite lava &amp; pyroclastic rocks</t>
        </is>
      </c>
      <c r="AA60" s="10" t="inlineStr">
        <is>
          <t>火成岩</t>
        </is>
      </c>
      <c r="AB60" s="10" t="inlineStr">
        <is>
          <t>Igneous rocks</t>
        </is>
      </c>
      <c r="AC60" s="10" t="inlineStr">
        <is>
          <t>Quaternary Volcanic Arc</t>
        </is>
      </c>
    </row>
    <row r="61">
      <c r="A61" s="5" t="inlineStr">
        <is>
          <t>m200k_NJ-54-16･22_u058</t>
        </is>
      </c>
      <c r="B61" s="6" t="inlineStr">
        <is>
          <t>col_7</t>
        </is>
      </c>
      <c r="C61" s="6" t="n">
        <v>3</v>
      </c>
      <c r="D61" s="7" t="inlineStr">
        <is>
          <t>Pleistocene Andesite (Fukushima Quaternary)</t>
        </is>
      </c>
      <c r="E61" s="5" t="inlineStr">
        <is>
          <t>Fukushima Quaternary Volcanic Arc</t>
        </is>
      </c>
      <c r="F61" s="6" t="inlineStr">
        <is>
          <t>Pleistocene</t>
        </is>
      </c>
      <c r="G61" s="8" t="n">
        <v>0.0117</v>
      </c>
      <c r="H61" s="9">
        <f>IF(OR($F61="",$G61=""),"",IFERROR((VLOOKUP($F61,intervals!$A:$C,2,FALSE)-$G61)/(VLOOKUP($F61,intervals!$A:$C,2,FALSE)-VLOOKUP($F61,intervals!$A:$C,3,FALSE)),""))</f>
        <v/>
      </c>
      <c r="I61" s="6" t="inlineStr">
        <is>
          <t>Pleistocene</t>
        </is>
      </c>
      <c r="J61" s="8" t="n">
        <v>2.58</v>
      </c>
      <c r="K61" s="9">
        <f>IF(OR($I61="",$J61=""),"",IFERROR((VLOOKUP($I61,intervals!$A:$C,2,FALSE)-$J61)/(VLOOKUP($I61,intervals!$A:$C,2,FALSE)-VLOOKUP($I61,intervals!$A:$C,3,FALSE)),""))</f>
        <v/>
      </c>
      <c r="L61" s="7" t="inlineStr">
        <is>
          <t>andesite</t>
        </is>
      </c>
      <c r="M61" s="5" t="inlineStr"/>
      <c r="N61" s="5" t="inlineStr">
        <is>
          <t>volcanic</t>
        </is>
      </c>
      <c r="O61" s="5" t="inlineStr">
        <is>
          <t>Cenozoic Quaternary Middle Pleistocene; andesite &amp; basaltic andesite lava &amp; pyroclastic rocks [Quaternary Volcanic Arc]</t>
        </is>
      </c>
      <c r="P61" s="5" t="inlineStr"/>
      <c r="Q61" s="5" t="inlineStr"/>
      <c r="R61" s="5" t="inlineStr">
        <is>
          <t>unknown</t>
        </is>
      </c>
      <c r="S61" s="5" t="inlineStr"/>
      <c r="T61" s="5" t="inlineStr">
        <is>
          <t>GSJ 200k Seamless Q2_vis_al</t>
        </is>
      </c>
      <c r="U61" s="5" t="inlineStr"/>
      <c r="V61" s="10" t="inlineStr">
        <is>
          <t>Q2_vis_al</t>
        </is>
      </c>
      <c r="W61" s="10" t="inlineStr">
        <is>
          <t>新生代 第四紀 チバニアン期</t>
        </is>
      </c>
      <c r="X61" s="10" t="inlineStr">
        <is>
          <t>Cenozoic Quaternary Middle Pleistocene</t>
        </is>
      </c>
      <c r="Y61" s="10" t="inlineStr">
        <is>
          <t>安山岩・玄武岩質安山岩 溶岩・火砕岩</t>
        </is>
      </c>
      <c r="Z61" s="10" t="inlineStr">
        <is>
          <t>andesite &amp; basaltic andesite lava &amp; pyroclastic rocks</t>
        </is>
      </c>
      <c r="AA61" s="10" t="inlineStr">
        <is>
          <t>火成岩</t>
        </is>
      </c>
      <c r="AB61" s="10" t="inlineStr">
        <is>
          <t>Igneous rocks</t>
        </is>
      </c>
      <c r="AC61" s="10" t="inlineStr">
        <is>
          <t>Quaternary Volcanic Arc</t>
        </is>
      </c>
    </row>
    <row r="62">
      <c r="A62" s="5" t="inlineStr">
        <is>
          <t>m200k_NJ-54-16･22_u063</t>
        </is>
      </c>
      <c r="B62" s="6" t="inlineStr">
        <is>
          <t>col_7</t>
        </is>
      </c>
      <c r="C62" s="6" t="n">
        <v>4</v>
      </c>
      <c r="D62" s="7" t="inlineStr">
        <is>
          <t>Pleistocene Dacite (Fukushima Quaternary)</t>
        </is>
      </c>
      <c r="E62" s="5" t="inlineStr">
        <is>
          <t>Fukushima Quaternary Volcanic Arc</t>
        </is>
      </c>
      <c r="F62" s="6" t="inlineStr">
        <is>
          <t>Pleistocene</t>
        </is>
      </c>
      <c r="G62" s="8" t="n">
        <v>0.0117</v>
      </c>
      <c r="H62" s="9">
        <f>IF(OR($F62="",$G62=""),"",IFERROR((VLOOKUP($F62,intervals!$A:$C,2,FALSE)-$G62)/(VLOOKUP($F62,intervals!$A:$C,2,FALSE)-VLOOKUP($F62,intervals!$A:$C,3,FALSE)),""))</f>
        <v/>
      </c>
      <c r="I62" s="6" t="inlineStr">
        <is>
          <t>Pleistocene</t>
        </is>
      </c>
      <c r="J62" s="8" t="n">
        <v>2.58</v>
      </c>
      <c r="K62" s="9">
        <f>IF(OR($I62="",$J62=""),"",IFERROR((VLOOKUP($I62,intervals!$A:$C,2,FALSE)-$J62)/(VLOOKUP($I62,intervals!$A:$C,2,FALSE)-VLOOKUP($I62,intervals!$A:$C,3,FALSE)),""))</f>
        <v/>
      </c>
      <c r="L62" s="7" t="inlineStr">
        <is>
          <t>dacite</t>
        </is>
      </c>
      <c r="M62" s="5" t="inlineStr">
        <is>
          <t>rhyolite</t>
        </is>
      </c>
      <c r="N62" s="5" t="inlineStr">
        <is>
          <t>volcanic</t>
        </is>
      </c>
      <c r="O62" s="5" t="inlineStr">
        <is>
          <t>Cenozoic Quaternary early Late Pleistocene; dacite &amp; rhyolite pyroclastic rocks [Quaternary Volcanic Arc]</t>
        </is>
      </c>
      <c r="P62" s="5" t="inlineStr"/>
      <c r="Q62" s="5" t="inlineStr"/>
      <c r="R62" s="5" t="inlineStr">
        <is>
          <t>unknown</t>
        </is>
      </c>
      <c r="S62" s="5" t="inlineStr"/>
      <c r="T62" s="5" t="inlineStr">
        <is>
          <t>GSJ 200k Seamless Q31_vas_ap</t>
        </is>
      </c>
      <c r="U62" s="5" t="inlineStr"/>
      <c r="V62" s="10" t="inlineStr">
        <is>
          <t>Q31_vas_ap</t>
        </is>
      </c>
      <c r="W62" s="10" t="inlineStr">
        <is>
          <t>新生代 第四紀 後期更新世前期</t>
        </is>
      </c>
      <c r="X62" s="10" t="inlineStr">
        <is>
          <t>Cenozoic Quaternary early Late Pleistocene</t>
        </is>
      </c>
      <c r="Y62" s="10" t="inlineStr">
        <is>
          <t>デイサイト・流紋岩 大規模火砕流</t>
        </is>
      </c>
      <c r="Z62" s="10" t="inlineStr">
        <is>
          <t>dacite &amp; rhyolite pyroclastic rocks</t>
        </is>
      </c>
      <c r="AA62" s="10" t="inlineStr">
        <is>
          <t>火成岩</t>
        </is>
      </c>
      <c r="AB62" s="10" t="inlineStr">
        <is>
          <t>Igneous rocks</t>
        </is>
      </c>
      <c r="AC62" s="10" t="inlineStr">
        <is>
          <t>Quaternary Volcanic Arc</t>
        </is>
      </c>
    </row>
    <row r="63">
      <c r="A63" s="5" t="inlineStr">
        <is>
          <t>m200k_NJ-54-16･22_u064</t>
        </is>
      </c>
      <c r="B63" s="6" t="inlineStr">
        <is>
          <t>col_7</t>
        </is>
      </c>
      <c r="C63" s="6" t="n">
        <v>5</v>
      </c>
      <c r="D63" s="7" t="inlineStr">
        <is>
          <t>Pleistocene Andesite (Fukushima Quaternary)</t>
        </is>
      </c>
      <c r="E63" s="5" t="inlineStr">
        <is>
          <t>Fukushima Quaternary Volcanic Arc</t>
        </is>
      </c>
      <c r="F63" s="6" t="inlineStr">
        <is>
          <t>Pleistocene</t>
        </is>
      </c>
      <c r="G63" s="8" t="n">
        <v>0.0117</v>
      </c>
      <c r="H63" s="9">
        <f>IF(OR($F63="",$G63=""),"",IFERROR((VLOOKUP($F63,intervals!$A:$C,2,FALSE)-$G63)/(VLOOKUP($F63,intervals!$A:$C,2,FALSE)-VLOOKUP($F63,intervals!$A:$C,3,FALSE)),""))</f>
        <v/>
      </c>
      <c r="I63" s="6" t="inlineStr">
        <is>
          <t>Pleistocene</t>
        </is>
      </c>
      <c r="J63" s="8" t="n">
        <v>2.58</v>
      </c>
      <c r="K63" s="9">
        <f>IF(OR($I63="",$J63=""),"",IFERROR((VLOOKUP($I63,intervals!$A:$C,2,FALSE)-$J63)/(VLOOKUP($I63,intervals!$A:$C,2,FALSE)-VLOOKUP($I63,intervals!$A:$C,3,FALSE)),""))</f>
        <v/>
      </c>
      <c r="L63" s="7" t="inlineStr">
        <is>
          <t>andesite</t>
        </is>
      </c>
      <c r="M63" s="5" t="inlineStr"/>
      <c r="N63" s="5" t="inlineStr">
        <is>
          <t>volcanic</t>
        </is>
      </c>
      <c r="O63" s="5" t="inlineStr">
        <is>
          <t>Cenozoic Quaternary Late Pleistocene; andesite &amp; basaltic andesite lava &amp; pyroclastic rocks [Quaternary Volcanic Arc]</t>
        </is>
      </c>
      <c r="P63" s="5" t="inlineStr"/>
      <c r="Q63" s="5" t="inlineStr"/>
      <c r="R63" s="5" t="inlineStr">
        <is>
          <t>unknown</t>
        </is>
      </c>
      <c r="S63" s="5" t="inlineStr"/>
      <c r="T63" s="5" t="inlineStr">
        <is>
          <t>GSJ 200k Seamless Q3_vis_al</t>
        </is>
      </c>
      <c r="U63" s="5" t="inlineStr"/>
      <c r="V63" s="10" t="inlineStr">
        <is>
          <t>Q3_vis_al</t>
        </is>
      </c>
      <c r="W63" s="10" t="inlineStr">
        <is>
          <t>新生代 第四紀 後期更新世</t>
        </is>
      </c>
      <c r="X63" s="10" t="inlineStr">
        <is>
          <t>Cenozoic Quaternary Late Pleistocene</t>
        </is>
      </c>
      <c r="Y63" s="10" t="inlineStr">
        <is>
          <t>安山岩・玄武岩質安山岩 溶岩・火砕岩</t>
        </is>
      </c>
      <c r="Z63" s="10" t="inlineStr">
        <is>
          <t>andesite &amp; basaltic andesite lava &amp; pyroclastic rocks</t>
        </is>
      </c>
      <c r="AA63" s="10" t="inlineStr">
        <is>
          <t>火成岩</t>
        </is>
      </c>
      <c r="AB63" s="10" t="inlineStr">
        <is>
          <t>Igneous rocks</t>
        </is>
      </c>
      <c r="AC63" s="10" t="inlineStr">
        <is>
          <t>Quaternary Volcanic Arc</t>
        </is>
      </c>
    </row>
    <row r="64">
      <c r="A64" s="5" t="inlineStr">
        <is>
          <t>m200k_NJ-54-16･22_u065</t>
        </is>
      </c>
      <c r="B64" s="6" t="inlineStr">
        <is>
          <t>col_7</t>
        </is>
      </c>
      <c r="C64" s="6" t="n">
        <v>6</v>
      </c>
      <c r="D64" s="7" t="inlineStr">
        <is>
          <t>Pleistocene Basalt (Fukushima Quaternary)</t>
        </is>
      </c>
      <c r="E64" s="5" t="inlineStr">
        <is>
          <t>Fukushima Quaternary Volcanic Arc</t>
        </is>
      </c>
      <c r="F64" s="6" t="inlineStr">
        <is>
          <t>Pleistocene</t>
        </is>
      </c>
      <c r="G64" s="8" t="n">
        <v>0.0117</v>
      </c>
      <c r="H64" s="9">
        <f>IF(OR($F64="",$G64=""),"",IFERROR((VLOOKUP($F64,intervals!$A:$C,2,FALSE)-$G64)/(VLOOKUP($F64,intervals!$A:$C,2,FALSE)-VLOOKUP($F64,intervals!$A:$C,3,FALSE)),""))</f>
        <v/>
      </c>
      <c r="I64" s="6" t="inlineStr">
        <is>
          <t>Pleistocene</t>
        </is>
      </c>
      <c r="J64" s="8" t="n">
        <v>2.58</v>
      </c>
      <c r="K64" s="9">
        <f>IF(OR($I64="",$J64=""),"",IFERROR((VLOOKUP($I64,intervals!$A:$C,2,FALSE)-$J64)/(VLOOKUP($I64,intervals!$A:$C,2,FALSE)-VLOOKUP($I64,intervals!$A:$C,3,FALSE)),""))</f>
        <v/>
      </c>
      <c r="L64" s="7" t="inlineStr">
        <is>
          <t>basalt</t>
        </is>
      </c>
      <c r="M64" s="5" t="inlineStr"/>
      <c r="N64" s="5" t="inlineStr">
        <is>
          <t>volcanic</t>
        </is>
      </c>
      <c r="O64" s="5" t="inlineStr">
        <is>
          <t>Cenozoic Quaternary Middle Pleistocene; basalt lava &amp; pyroclastic rocks [Quaternary Volcanic Arc]</t>
        </is>
      </c>
      <c r="P64" s="5" t="inlineStr"/>
      <c r="Q64" s="5" t="inlineStr"/>
      <c r="R64" s="5" t="inlineStr">
        <is>
          <t>unknown</t>
        </is>
      </c>
      <c r="S64" s="5" t="inlineStr"/>
      <c r="T64" s="5" t="inlineStr">
        <is>
          <t>GSJ 200k Seamless Q2_vbs_al</t>
        </is>
      </c>
      <c r="U64" s="5" t="inlineStr"/>
      <c r="V64" s="10" t="inlineStr">
        <is>
          <t>Q2_vbs_al</t>
        </is>
      </c>
      <c r="W64" s="10" t="inlineStr">
        <is>
          <t>新生代 第四紀 チバニアン期</t>
        </is>
      </c>
      <c r="X64" s="10" t="inlineStr">
        <is>
          <t>Cenozoic Quaternary Middle Pleistocene</t>
        </is>
      </c>
      <c r="Y64" s="10" t="inlineStr">
        <is>
          <t>玄武岩 溶岩・火砕岩</t>
        </is>
      </c>
      <c r="Z64" s="10" t="inlineStr">
        <is>
          <t>basalt lava &amp; pyroclastic rocks</t>
        </is>
      </c>
      <c r="AA64" s="10" t="inlineStr">
        <is>
          <t>火成岩</t>
        </is>
      </c>
      <c r="AB64" s="10" t="inlineStr">
        <is>
          <t>Igneous rocks</t>
        </is>
      </c>
      <c r="AC64" s="10" t="inlineStr">
        <is>
          <t>Quaternary Volcanic Arc</t>
        </is>
      </c>
    </row>
    <row r="65">
      <c r="A65" s="5" t="inlineStr">
        <is>
          <t>m200k_NJ-54-16･22_u059</t>
        </is>
      </c>
      <c r="B65" s="6" t="inlineStr">
        <is>
          <t>col_7</t>
        </is>
      </c>
      <c r="C65" s="6" t="n">
        <v>7</v>
      </c>
      <c r="D65" s="7" t="inlineStr">
        <is>
          <t>Calabrian Andesite (Fukushima Quaternary)</t>
        </is>
      </c>
      <c r="E65" s="5" t="inlineStr">
        <is>
          <t>Fukushima Quaternary Volcanic Arc</t>
        </is>
      </c>
      <c r="F65" s="6" t="inlineStr">
        <is>
          <t>Calabrian</t>
        </is>
      </c>
      <c r="G65" s="8" t="n">
        <v>0.774</v>
      </c>
      <c r="H65" s="9">
        <f>IF(OR($F65="",$G65=""),"",IFERROR((VLOOKUP($F65,intervals!$A:$C,2,FALSE)-$G65)/(VLOOKUP($F65,intervals!$A:$C,2,FALSE)-VLOOKUP($F65,intervals!$A:$C,3,FALSE)),""))</f>
        <v/>
      </c>
      <c r="I65" s="6" t="inlineStr">
        <is>
          <t>Calabrian</t>
        </is>
      </c>
      <c r="J65" s="8" t="n">
        <v>1.8</v>
      </c>
      <c r="K65" s="9">
        <f>IF(OR($I65="",$J65=""),"",IFERROR((VLOOKUP($I65,intervals!$A:$C,2,FALSE)-$J65)/(VLOOKUP($I65,intervals!$A:$C,2,FALSE)-VLOOKUP($I65,intervals!$A:$C,3,FALSE)),""))</f>
        <v/>
      </c>
      <c r="L65" s="7" t="inlineStr">
        <is>
          <t>andesite</t>
        </is>
      </c>
      <c r="M65" s="5" t="inlineStr"/>
      <c r="N65" s="5" t="inlineStr">
        <is>
          <t>volcanic</t>
        </is>
      </c>
      <c r="O65" s="5" t="inlineStr">
        <is>
          <t>Cenozoic Quaternary Pleistocene Calabrian; andesite &amp; basaltic andesite lava &amp; pyroclastic rocks [Quaternary Volcanic Arc]</t>
        </is>
      </c>
      <c r="P65" s="5" t="inlineStr"/>
      <c r="Q65" s="5" t="inlineStr"/>
      <c r="R65" s="5" t="inlineStr">
        <is>
          <t>unknown</t>
        </is>
      </c>
      <c r="S65" s="5" t="inlineStr"/>
      <c r="T65" s="5" t="inlineStr">
        <is>
          <t>GSJ 200k Seamless Q12_vis_al</t>
        </is>
      </c>
      <c r="U65" s="5" t="inlineStr"/>
      <c r="V65" s="10" t="inlineStr">
        <is>
          <t>Q12_vis_al</t>
        </is>
      </c>
      <c r="W65" s="10" t="inlineStr">
        <is>
          <t>新生代 第四紀 更新世 カラブリアン期</t>
        </is>
      </c>
      <c r="X65" s="10" t="inlineStr">
        <is>
          <t>Cenozoic Quaternary Pleistocene Calabrian</t>
        </is>
      </c>
      <c r="Y65" s="10" t="inlineStr">
        <is>
          <t>安山岩・玄武岩質安山岩 溶岩・火砕岩</t>
        </is>
      </c>
      <c r="Z65" s="10" t="inlineStr">
        <is>
          <t>andesite &amp; basaltic andesite lava &amp; pyroclastic rocks</t>
        </is>
      </c>
      <c r="AA65" s="10" t="inlineStr">
        <is>
          <t>火成岩</t>
        </is>
      </c>
      <c r="AB65" s="10" t="inlineStr">
        <is>
          <t>Igneous rocks</t>
        </is>
      </c>
      <c r="AC65" s="10" t="inlineStr">
        <is>
          <t>Quaternary Volcanic Arc</t>
        </is>
      </c>
    </row>
    <row r="66">
      <c r="A66" s="5" t="inlineStr">
        <is>
          <t>m200k_NJ-54-16･22_u062</t>
        </is>
      </c>
      <c r="B66" s="6" t="inlineStr">
        <is>
          <t>col_7</t>
        </is>
      </c>
      <c r="C66" s="6" t="n">
        <v>8</v>
      </c>
      <c r="D66" s="7" t="inlineStr">
        <is>
          <t>Calabrian Dacite (Fukushima Quaternary)</t>
        </is>
      </c>
      <c r="E66" s="5" t="inlineStr">
        <is>
          <t>Fukushima Quaternary Volcanic Arc</t>
        </is>
      </c>
      <c r="F66" s="6" t="inlineStr">
        <is>
          <t>Calabrian</t>
        </is>
      </c>
      <c r="G66" s="8" t="n">
        <v>0.774</v>
      </c>
      <c r="H66" s="9">
        <f>IF(OR($F66="",$G66=""),"",IFERROR((VLOOKUP($F66,intervals!$A:$C,2,FALSE)-$G66)/(VLOOKUP($F66,intervals!$A:$C,2,FALSE)-VLOOKUP($F66,intervals!$A:$C,3,FALSE)),""))</f>
        <v/>
      </c>
      <c r="I66" s="6" t="inlineStr">
        <is>
          <t>Calabrian</t>
        </is>
      </c>
      <c r="J66" s="8" t="n">
        <v>1.8</v>
      </c>
      <c r="K66" s="9">
        <f>IF(OR($I66="",$J66=""),"",IFERROR((VLOOKUP($I66,intervals!$A:$C,2,FALSE)-$J66)/(VLOOKUP($I66,intervals!$A:$C,2,FALSE)-VLOOKUP($I66,intervals!$A:$C,3,FALSE)),""))</f>
        <v/>
      </c>
      <c r="L66" s="7" t="inlineStr">
        <is>
          <t>dacite</t>
        </is>
      </c>
      <c r="M66" s="5" t="inlineStr">
        <is>
          <t>rhyolite</t>
        </is>
      </c>
      <c r="N66" s="5" t="inlineStr">
        <is>
          <t>volcanic</t>
        </is>
      </c>
      <c r="O66" s="5" t="inlineStr">
        <is>
          <t>Cenozoic Quaternary Pleistocene Calabrian; dacite &amp; rhyolite pyroclastic rocks [Quaternary Volcanic Arc]</t>
        </is>
      </c>
      <c r="P66" s="5" t="inlineStr"/>
      <c r="Q66" s="5" t="inlineStr"/>
      <c r="R66" s="5" t="inlineStr">
        <is>
          <t>unknown</t>
        </is>
      </c>
      <c r="S66" s="5" t="inlineStr"/>
      <c r="T66" s="5" t="inlineStr">
        <is>
          <t>GSJ 200k Seamless Q12_vas_ap</t>
        </is>
      </c>
      <c r="U66" s="5" t="inlineStr"/>
      <c r="V66" s="10" t="inlineStr">
        <is>
          <t>Q12_vas_ap</t>
        </is>
      </c>
      <c r="W66" s="10" t="inlineStr">
        <is>
          <t>新生代 第四紀 更新世 カラブリアン期</t>
        </is>
      </c>
      <c r="X66" s="10" t="inlineStr">
        <is>
          <t>Cenozoic Quaternary Pleistocene Calabrian</t>
        </is>
      </c>
      <c r="Y66" s="10" t="inlineStr">
        <is>
          <t>デイサイト・流紋岩 大規模火砕流</t>
        </is>
      </c>
      <c r="Z66" s="10" t="inlineStr">
        <is>
          <t>dacite &amp; rhyolite pyroclastic rocks</t>
        </is>
      </c>
      <c r="AA66" s="10" t="inlineStr">
        <is>
          <t>火成岩</t>
        </is>
      </c>
      <c r="AB66" s="10" t="inlineStr">
        <is>
          <t>Igneous rocks</t>
        </is>
      </c>
      <c r="AC66" s="10" t="inlineStr">
        <is>
          <t>Quaternary Volcanic Arc</t>
        </is>
      </c>
    </row>
    <row r="67">
      <c r="A67" s="5" t="inlineStr">
        <is>
          <t>m200k_NJ-54-16･22_u060</t>
        </is>
      </c>
      <c r="B67" s="6" t="inlineStr">
        <is>
          <t>col_7</t>
        </is>
      </c>
      <c r="C67" s="6" t="n">
        <v>9</v>
      </c>
      <c r="D67" s="7" t="inlineStr">
        <is>
          <t>Holocene Andesite (Fukushima Quaternary)</t>
        </is>
      </c>
      <c r="E67" s="5" t="inlineStr">
        <is>
          <t>Fukushima Quaternary Volcanic Arc</t>
        </is>
      </c>
      <c r="F67" s="6" t="inlineStr">
        <is>
          <t>Holocene</t>
        </is>
      </c>
      <c r="G67" s="8" t="n">
        <v>0</v>
      </c>
      <c r="H67" s="9">
        <f>IF(OR($F67="",$G67=""),"",IFERROR((VLOOKUP($F67,intervals!$A:$C,2,FALSE)-$G67)/(VLOOKUP($F67,intervals!$A:$C,2,FALSE)-VLOOKUP($F67,intervals!$A:$C,3,FALSE)),""))</f>
        <v/>
      </c>
      <c r="I67" s="6" t="inlineStr">
        <is>
          <t>Holocene</t>
        </is>
      </c>
      <c r="J67" s="8" t="n">
        <v>0.0117</v>
      </c>
      <c r="K67" s="9">
        <f>IF(OR($I67="",$J67=""),"",IFERROR((VLOOKUP($I67,intervals!$A:$C,2,FALSE)-$J67)/(VLOOKUP($I67,intervals!$A:$C,2,FALSE)-VLOOKUP($I67,intervals!$A:$C,3,FALSE)),""))</f>
        <v/>
      </c>
      <c r="L67" s="7" t="inlineStr">
        <is>
          <t>andesite</t>
        </is>
      </c>
      <c r="M67" s="5" t="inlineStr"/>
      <c r="N67" s="5" t="inlineStr">
        <is>
          <t>volcanic</t>
        </is>
      </c>
      <c r="O67" s="5" t="inlineStr">
        <is>
          <t>Cenozoic Quaternary Holocene; andesite &amp; basaltic andesite lava &amp; pyroclastic rocks [Quaternary Volcanic Arc]</t>
        </is>
      </c>
      <c r="P67" s="5" t="inlineStr"/>
      <c r="Q67" s="5" t="inlineStr"/>
      <c r="R67" s="5" t="inlineStr">
        <is>
          <t>unknown</t>
        </is>
      </c>
      <c r="S67" s="5" t="inlineStr"/>
      <c r="T67" s="5" t="inlineStr">
        <is>
          <t>GSJ 200k Seamless H_vis_al</t>
        </is>
      </c>
      <c r="U67" s="5" t="inlineStr"/>
      <c r="V67" s="10" t="inlineStr">
        <is>
          <t>H_vis_al</t>
        </is>
      </c>
      <c r="W67" s="10" t="inlineStr">
        <is>
          <t>新生代 第四紀 完新世</t>
        </is>
      </c>
      <c r="X67" s="10" t="inlineStr">
        <is>
          <t>Cenozoic Quaternary Holocene</t>
        </is>
      </c>
      <c r="Y67" s="10" t="inlineStr">
        <is>
          <t>安山岩・玄武岩質安山岩 溶岩・火砕岩</t>
        </is>
      </c>
      <c r="Z67" s="10" t="inlineStr">
        <is>
          <t>andesite &amp; basaltic andesite lava &amp; pyroclastic rocks</t>
        </is>
      </c>
      <c r="AA67" s="10" t="inlineStr">
        <is>
          <t>火成岩</t>
        </is>
      </c>
      <c r="AB67" s="10" t="inlineStr">
        <is>
          <t>Igneous rocks</t>
        </is>
      </c>
      <c r="AC67" s="10" t="inlineStr">
        <is>
          <t>Quaternary Volcanic Arc</t>
        </is>
      </c>
    </row>
    <row r="68">
      <c r="A68" s="5" t="inlineStr">
        <is>
          <t>m200k_NJ-54-16･22_u076</t>
        </is>
      </c>
      <c r="B68" s="6" t="inlineStr">
        <is>
          <t>col_8</t>
        </is>
      </c>
      <c r="C68" s="6" t="n">
        <v>1</v>
      </c>
      <c r="D68" s="7" t="inlineStr">
        <is>
          <t>Silurian Sedimentary (Fukushima Paleozoic)</t>
        </is>
      </c>
      <c r="E68" s="5" t="inlineStr">
        <is>
          <t>Fukushima Paleozoic Sedimentary Succession</t>
        </is>
      </c>
      <c r="F68" s="6" t="inlineStr">
        <is>
          <t>Silurian</t>
        </is>
      </c>
      <c r="G68" s="8" t="n">
        <v>419.62</v>
      </c>
      <c r="H68" s="9">
        <f>IF(OR($F68="",$G68=""),"",IFERROR((VLOOKUP($F68,intervals!$A:$C,2,FALSE)-$G68)/(VLOOKUP($F68,intervals!$A:$C,2,FALSE)-VLOOKUP($F68,intervals!$A:$C,3,FALSE)),""))</f>
        <v/>
      </c>
      <c r="I68" s="6" t="inlineStr">
        <is>
          <t>Ordovician</t>
        </is>
      </c>
      <c r="J68" s="8" t="n">
        <v>486.85</v>
      </c>
      <c r="K68" s="9">
        <f>IF(OR($I68="",$J68=""),"",IFERROR((VLOOKUP($I68,intervals!$A:$C,2,FALSE)-$J68)/(VLOOKUP($I68,intervals!$A:$C,2,FALSE)-VLOOKUP($I68,intervals!$A:$C,3,FALSE)),""))</f>
        <v/>
      </c>
      <c r="L68" s="7" t="inlineStr">
        <is>
          <t>sedimentary</t>
        </is>
      </c>
      <c r="M68" s="5" t="inlineStr"/>
      <c r="N68" s="5" t="inlineStr">
        <is>
          <t>unknown</t>
        </is>
      </c>
      <c r="O68" s="5" t="inlineStr">
        <is>
          <t>Paleozoic Ordovician - Silurian; ultramafic rocks island arc &amp; continental [Paleozoic Sedimentary Succession]</t>
        </is>
      </c>
      <c r="P68" s="5" t="inlineStr"/>
      <c r="Q68" s="5" t="inlineStr"/>
      <c r="R68" s="5" t="inlineStr">
        <is>
          <t>unknown</t>
        </is>
      </c>
      <c r="S68" s="5" t="inlineStr"/>
      <c r="T68" s="5" t="inlineStr">
        <is>
          <t>GSJ 200k Seamless O-S_pu_a</t>
        </is>
      </c>
      <c r="U68" s="5" t="inlineStr"/>
      <c r="V68" s="10" t="inlineStr">
        <is>
          <t>O-S_pu_a</t>
        </is>
      </c>
      <c r="W68" s="10" t="inlineStr">
        <is>
          <t>古生代 オルドビス紀〜シルル紀</t>
        </is>
      </c>
      <c r="X68" s="10" t="inlineStr">
        <is>
          <t>Paleozoic Ordovician - Silurian</t>
        </is>
      </c>
      <c r="Y68" s="10" t="inlineStr">
        <is>
          <t>超苦鉄質岩類 島弧・大陸</t>
        </is>
      </c>
      <c r="Z68" s="10" t="inlineStr">
        <is>
          <t>ultramafic rocks island arc &amp; continental</t>
        </is>
      </c>
      <c r="AA68" s="10" t="inlineStr">
        <is>
          <t>火成岩</t>
        </is>
      </c>
      <c r="AB68" s="10" t="inlineStr">
        <is>
          <t>Igneous rocks</t>
        </is>
      </c>
      <c r="AC68" s="10" t="inlineStr">
        <is>
          <t>Paleozoic Sedimentary Succession</t>
        </is>
      </c>
    </row>
    <row r="69">
      <c r="A69" s="5" t="inlineStr">
        <is>
          <t>m200k_NJ-54-16･22_u073</t>
        </is>
      </c>
      <c r="B69" s="6" t="inlineStr">
        <is>
          <t>col_8</t>
        </is>
      </c>
      <c r="C69" s="6" t="n">
        <v>2</v>
      </c>
      <c r="D69" s="7" t="inlineStr">
        <is>
          <t>Devonian Limestone (Fukushima Paleozoic)</t>
        </is>
      </c>
      <c r="E69" s="5" t="inlineStr">
        <is>
          <t>Fukushima Paleozoic Sedimentary Succession</t>
        </is>
      </c>
      <c r="F69" s="6" t="inlineStr">
        <is>
          <t>Devonian</t>
        </is>
      </c>
      <c r="G69" s="8" t="n">
        <v>358.86</v>
      </c>
      <c r="H69" s="9">
        <f>IF(OR($F69="",$G69=""),"",IFERROR((VLOOKUP($F69,intervals!$A:$C,2,FALSE)-$G69)/(VLOOKUP($F69,intervals!$A:$C,2,FALSE)-VLOOKUP($F69,intervals!$A:$C,3,FALSE)),""))</f>
        <v/>
      </c>
      <c r="I69" s="6" t="inlineStr">
        <is>
          <t>Ordovician</t>
        </is>
      </c>
      <c r="J69" s="8" t="n">
        <v>486.85</v>
      </c>
      <c r="K69" s="9">
        <f>IF(OR($I69="",$J69=""),"",IFERROR((VLOOKUP($I69,intervals!$A:$C,2,FALSE)-$J69)/(VLOOKUP($I69,intervals!$A:$C,2,FALSE)-VLOOKUP($I69,intervals!$A:$C,3,FALSE)),""))</f>
        <v/>
      </c>
      <c r="L69" s="7" t="inlineStr">
        <is>
          <t>limestone</t>
        </is>
      </c>
      <c r="M69" s="5" t="inlineStr"/>
      <c r="N69" s="5" t="inlineStr">
        <is>
          <t>marine</t>
        </is>
      </c>
      <c r="O69" s="5" t="inlineStr">
        <is>
          <t>Paleozoic Ordovician Late - Early Devonian; marine limestone [Paleozoic Sedimentary Succession]</t>
        </is>
      </c>
      <c r="P69" s="5" t="inlineStr"/>
      <c r="Q69" s="5" t="inlineStr"/>
      <c r="R69" s="5" t="inlineStr">
        <is>
          <t>unknown</t>
        </is>
      </c>
      <c r="S69" s="5" t="inlineStr"/>
      <c r="T69" s="5" t="inlineStr">
        <is>
          <t>GSJ 200k Seamless O3-D1_sol</t>
        </is>
      </c>
      <c r="U69" s="5" t="inlineStr"/>
      <c r="V69" s="10" t="inlineStr">
        <is>
          <t>O3-D1_sol</t>
        </is>
      </c>
      <c r="W69" s="10" t="inlineStr">
        <is>
          <t>古生代 後期オルドビス紀〜前期デボン紀</t>
        </is>
      </c>
      <c r="X69" s="10" t="inlineStr">
        <is>
          <t>Paleozoic Ordovician Late - Early Devonian</t>
        </is>
      </c>
      <c r="Y69" s="10" t="inlineStr">
        <is>
          <t>海成層 石灰岩</t>
        </is>
      </c>
      <c r="Z69" s="10" t="inlineStr">
        <is>
          <t>marine limestone</t>
        </is>
      </c>
      <c r="AA69" s="10" t="inlineStr">
        <is>
          <t>堆積岩</t>
        </is>
      </c>
      <c r="AB69" s="10" t="inlineStr">
        <is>
          <t>Sedimentary rocks</t>
        </is>
      </c>
      <c r="AC69" s="10" t="inlineStr">
        <is>
          <t>Paleozoic Sedimentary Succession</t>
        </is>
      </c>
    </row>
    <row r="70">
      <c r="A70" s="5" t="inlineStr">
        <is>
          <t>m200k_NJ-54-16･22_u074</t>
        </is>
      </c>
      <c r="B70" s="6" t="inlineStr">
        <is>
          <t>col_8</t>
        </is>
      </c>
      <c r="C70" s="6" t="n">
        <v>3</v>
      </c>
      <c r="D70" s="7" t="inlineStr">
        <is>
          <t>Devonian Mudstone (Fukushima Paleozoic)</t>
        </is>
      </c>
      <c r="E70" s="5" t="inlineStr">
        <is>
          <t>Fukushima Paleozoic Sedimentary Succession</t>
        </is>
      </c>
      <c r="F70" s="6" t="inlineStr">
        <is>
          <t>Devonian</t>
        </is>
      </c>
      <c r="G70" s="8" t="n">
        <v>358.86</v>
      </c>
      <c r="H70" s="9">
        <f>IF(OR($F70="",$G70=""),"",IFERROR((VLOOKUP($F70,intervals!$A:$C,2,FALSE)-$G70)/(VLOOKUP($F70,intervals!$A:$C,2,FALSE)-VLOOKUP($F70,intervals!$A:$C,3,FALSE)),""))</f>
        <v/>
      </c>
      <c r="I70" s="6" t="inlineStr">
        <is>
          <t>Ordovician</t>
        </is>
      </c>
      <c r="J70" s="8" t="n">
        <v>486.85</v>
      </c>
      <c r="K70" s="9">
        <f>IF(OR($I70="",$J70=""),"",IFERROR((VLOOKUP($I70,intervals!$A:$C,2,FALSE)-$J70)/(VLOOKUP($I70,intervals!$A:$C,2,FALSE)-VLOOKUP($I70,intervals!$A:$C,3,FALSE)),""))</f>
        <v/>
      </c>
      <c r="L70" s="7" t="inlineStr">
        <is>
          <t>mudstone</t>
        </is>
      </c>
      <c r="M70" s="5" t="inlineStr"/>
      <c r="N70" s="5" t="inlineStr">
        <is>
          <t>marine</t>
        </is>
      </c>
      <c r="O70" s="5" t="inlineStr">
        <is>
          <t>Paleozoic Ordovician Late - Early Devonian; marine mudstone [Paleozoic Sedimentary Succession]</t>
        </is>
      </c>
      <c r="P70" s="5" t="inlineStr"/>
      <c r="Q70" s="5" t="inlineStr"/>
      <c r="R70" s="5" t="inlineStr">
        <is>
          <t>unknown</t>
        </is>
      </c>
      <c r="S70" s="5" t="inlineStr"/>
      <c r="T70" s="5" t="inlineStr">
        <is>
          <t>GSJ 200k Seamless O3-D1_som</t>
        </is>
      </c>
      <c r="U70" s="5" t="inlineStr"/>
      <c r="V70" s="10" t="inlineStr">
        <is>
          <t>O3-D1_som</t>
        </is>
      </c>
      <c r="W70" s="10" t="inlineStr">
        <is>
          <t>古生代 後期オルドビス紀〜前期デボン紀</t>
        </is>
      </c>
      <c r="X70" s="10" t="inlineStr">
        <is>
          <t>Paleozoic Ordovician Late - Early Devonian</t>
        </is>
      </c>
      <c r="Y70" s="10" t="inlineStr">
        <is>
          <t>海成層 泥岩</t>
        </is>
      </c>
      <c r="Z70" s="10" t="inlineStr">
        <is>
          <t>marine mudstone</t>
        </is>
      </c>
      <c r="AA70" s="10" t="inlineStr">
        <is>
          <t>堆積岩</t>
        </is>
      </c>
      <c r="AB70" s="10" t="inlineStr">
        <is>
          <t>Sedimentary rocks</t>
        </is>
      </c>
      <c r="AC70" s="10" t="inlineStr">
        <is>
          <t>Paleozoic Sedimentary Succession</t>
        </is>
      </c>
    </row>
    <row r="71">
      <c r="A71" s="5" t="inlineStr">
        <is>
          <t>m200k_NJ-54-16･22_u068</t>
        </is>
      </c>
      <c r="B71" s="6" t="inlineStr">
        <is>
          <t>col_8</t>
        </is>
      </c>
      <c r="C71" s="6" t="n">
        <v>4</v>
      </c>
      <c r="D71" s="7" t="inlineStr">
        <is>
          <t>Devonian Mudstone (Fukushima Paleozoic)</t>
        </is>
      </c>
      <c r="E71" s="5" t="inlineStr">
        <is>
          <t>Fukushima Paleozoic Sedimentary Succession</t>
        </is>
      </c>
      <c r="F71" s="6" t="inlineStr">
        <is>
          <t>Devonian</t>
        </is>
      </c>
      <c r="G71" s="8" t="n">
        <v>358.86</v>
      </c>
      <c r="H71" s="9">
        <f>IF(OR($F71="",$G71=""),"",IFERROR((VLOOKUP($F71,intervals!$A:$C,2,FALSE)-$G71)/(VLOOKUP($F71,intervals!$A:$C,2,FALSE)-VLOOKUP($F71,intervals!$A:$C,3,FALSE)),""))</f>
        <v/>
      </c>
      <c r="I71" s="6" t="inlineStr">
        <is>
          <t>Devonian</t>
        </is>
      </c>
      <c r="J71" s="8" t="n">
        <v>419.62</v>
      </c>
      <c r="K71" s="9">
        <f>IF(OR($I71="",$J71=""),"",IFERROR((VLOOKUP($I71,intervals!$A:$C,2,FALSE)-$J71)/(VLOOKUP($I71,intervals!$A:$C,2,FALSE)-VLOOKUP($I71,intervals!$A:$C,3,FALSE)),""))</f>
        <v/>
      </c>
      <c r="L71" s="7" t="inlineStr">
        <is>
          <t>mudstone</t>
        </is>
      </c>
      <c r="M71" s="5" t="inlineStr"/>
      <c r="N71" s="5" t="inlineStr">
        <is>
          <t>marine</t>
        </is>
      </c>
      <c r="O71" s="5" t="inlineStr">
        <is>
          <t>Paleozoic Middle Devonian - Late Devonian; marine mudstone [Paleozoic Sedimentary Succession]</t>
        </is>
      </c>
      <c r="P71" s="5" t="inlineStr"/>
      <c r="Q71" s="5" t="inlineStr"/>
      <c r="R71" s="5" t="inlineStr">
        <is>
          <t>unknown</t>
        </is>
      </c>
      <c r="S71" s="5" t="inlineStr"/>
      <c r="T71" s="5" t="inlineStr">
        <is>
          <t>GSJ 200k Seamless D2-3_som</t>
        </is>
      </c>
      <c r="U71" s="5" t="inlineStr"/>
      <c r="V71" s="10" t="inlineStr">
        <is>
          <t>D2-3_som</t>
        </is>
      </c>
      <c r="W71" s="10" t="inlineStr">
        <is>
          <t>古生代 中期デボン紀〜後期デボン紀</t>
        </is>
      </c>
      <c r="X71" s="10" t="inlineStr">
        <is>
          <t>Paleozoic Middle Devonian - Late Devonian</t>
        </is>
      </c>
      <c r="Y71" s="10" t="inlineStr">
        <is>
          <t>海成層 泥岩</t>
        </is>
      </c>
      <c r="Z71" s="10" t="inlineStr">
        <is>
          <t>marine mudstone</t>
        </is>
      </c>
      <c r="AA71" s="10" t="inlineStr">
        <is>
          <t>堆積岩</t>
        </is>
      </c>
      <c r="AB71" s="10" t="inlineStr">
        <is>
          <t>Sedimentary rocks</t>
        </is>
      </c>
      <c r="AC71" s="10" t="inlineStr">
        <is>
          <t>Paleozoic Sedimentary Succession</t>
        </is>
      </c>
    </row>
    <row r="72">
      <c r="A72" s="5" t="inlineStr">
        <is>
          <t>m200k_NJ-54-16･22_u067</t>
        </is>
      </c>
      <c r="B72" s="6" t="inlineStr">
        <is>
          <t>col_8</t>
        </is>
      </c>
      <c r="C72" s="6" t="n">
        <v>5</v>
      </c>
      <c r="D72" s="7" t="inlineStr">
        <is>
          <t>Carboniferous Limestone (Fukushima Paleozoic)</t>
        </is>
      </c>
      <c r="E72" s="5" t="inlineStr">
        <is>
          <t>Fukushima Paleozoic Sedimentary Succession</t>
        </is>
      </c>
      <c r="F72" s="6" t="inlineStr">
        <is>
          <t>Carboniferous</t>
        </is>
      </c>
      <c r="G72" s="8" t="n">
        <v>298.9</v>
      </c>
      <c r="H72" s="9">
        <f>IF(OR($F72="",$G72=""),"",IFERROR((VLOOKUP($F72,intervals!$A:$C,2,FALSE)-$G72)/(VLOOKUP($F72,intervals!$A:$C,2,FALSE)-VLOOKUP($F72,intervals!$A:$C,3,FALSE)),""))</f>
        <v/>
      </c>
      <c r="I72" s="6" t="inlineStr">
        <is>
          <t>Carboniferous</t>
        </is>
      </c>
      <c r="J72" s="8" t="n">
        <v>358.86</v>
      </c>
      <c r="K72" s="9">
        <f>IF(OR($I72="",$J72=""),"",IFERROR((VLOOKUP($I72,intervals!$A:$C,2,FALSE)-$J72)/(VLOOKUP($I72,intervals!$A:$C,2,FALSE)-VLOOKUP($I72,intervals!$A:$C,3,FALSE)),""))</f>
        <v/>
      </c>
      <c r="L72" s="7" t="inlineStr">
        <is>
          <t>limestone</t>
        </is>
      </c>
      <c r="M72" s="5" t="inlineStr"/>
      <c r="N72" s="5" t="inlineStr">
        <is>
          <t>marine</t>
        </is>
      </c>
      <c r="O72" s="5" t="inlineStr">
        <is>
          <t>Paleozoic Carboniferous; marine limestone [Paleozoic Sedimentary Succession]</t>
        </is>
      </c>
      <c r="P72" s="5" t="inlineStr"/>
      <c r="Q72" s="5" t="inlineStr"/>
      <c r="R72" s="5" t="inlineStr">
        <is>
          <t>unknown</t>
        </is>
      </c>
      <c r="S72" s="5" t="inlineStr"/>
      <c r="T72" s="5" t="inlineStr">
        <is>
          <t>GSJ 200k Seamless C_sol</t>
        </is>
      </c>
      <c r="U72" s="5" t="inlineStr"/>
      <c r="V72" s="10" t="inlineStr">
        <is>
          <t>C_sol</t>
        </is>
      </c>
      <c r="W72" s="10" t="inlineStr">
        <is>
          <t>古生代 石炭紀</t>
        </is>
      </c>
      <c r="X72" s="10" t="inlineStr">
        <is>
          <t>Paleozoic Carboniferous</t>
        </is>
      </c>
      <c r="Y72" s="10" t="inlineStr">
        <is>
          <t>海成層 石灰岩</t>
        </is>
      </c>
      <c r="Z72" s="10" t="inlineStr">
        <is>
          <t>marine limestone</t>
        </is>
      </c>
      <c r="AA72" s="10" t="inlineStr">
        <is>
          <t>堆積岩</t>
        </is>
      </c>
      <c r="AB72" s="10" t="inlineStr">
        <is>
          <t>Sedimentary rocks</t>
        </is>
      </c>
      <c r="AC72" s="10" t="inlineStr">
        <is>
          <t>Paleozoic Sedimentary Succession</t>
        </is>
      </c>
    </row>
    <row r="73">
      <c r="A73" s="5" t="inlineStr">
        <is>
          <t>m200k_NJ-54-16･22_u072</t>
        </is>
      </c>
      <c r="B73" s="6" t="inlineStr">
        <is>
          <t>col_8</t>
        </is>
      </c>
      <c r="C73" s="6" t="n">
        <v>6</v>
      </c>
      <c r="D73" s="7" t="inlineStr">
        <is>
          <t>Carboniferous Sandstone (Fukushima Paleozoic)</t>
        </is>
      </c>
      <c r="E73" s="5" t="inlineStr">
        <is>
          <t>Fukushima Paleozoic Sedimentary Succession</t>
        </is>
      </c>
      <c r="F73" s="6" t="inlineStr">
        <is>
          <t>Carboniferous</t>
        </is>
      </c>
      <c r="G73" s="8" t="n">
        <v>298.9</v>
      </c>
      <c r="H73" s="9">
        <f>IF(OR($F73="",$G73=""),"",IFERROR((VLOOKUP($F73,intervals!$A:$C,2,FALSE)-$G73)/(VLOOKUP($F73,intervals!$A:$C,2,FALSE)-VLOOKUP($F73,intervals!$A:$C,3,FALSE)),""))</f>
        <v/>
      </c>
      <c r="I73" s="6" t="inlineStr">
        <is>
          <t>Carboniferous</t>
        </is>
      </c>
      <c r="J73" s="8" t="n">
        <v>358.86</v>
      </c>
      <c r="K73" s="9">
        <f>IF(OR($I73="",$J73=""),"",IFERROR((VLOOKUP($I73,intervals!$A:$C,2,FALSE)-$J73)/(VLOOKUP($I73,intervals!$A:$C,2,FALSE)-VLOOKUP($I73,intervals!$A:$C,3,FALSE)),""))</f>
        <v/>
      </c>
      <c r="L73" s="7" t="inlineStr">
        <is>
          <t>sandstone</t>
        </is>
      </c>
      <c r="M73" s="5" t="inlineStr">
        <is>
          <t>mudstone</t>
        </is>
      </c>
      <c r="N73" s="5" t="inlineStr">
        <is>
          <t>marine</t>
        </is>
      </c>
      <c r="O73" s="5" t="inlineStr">
        <is>
          <t>Paleozoic Carboniferous; marine alternation of sandstone &amp; mudstone [Paleozoic Sedimentary Succession]</t>
        </is>
      </c>
      <c r="P73" s="5" t="inlineStr"/>
      <c r="Q73" s="5" t="inlineStr"/>
      <c r="R73" s="5" t="inlineStr">
        <is>
          <t>unknown</t>
        </is>
      </c>
      <c r="S73" s="5" t="inlineStr"/>
      <c r="T73" s="5" t="inlineStr">
        <is>
          <t>GSJ 200k Seamless C_sosma</t>
        </is>
      </c>
      <c r="U73" s="5" t="inlineStr"/>
      <c r="V73" s="10" t="inlineStr">
        <is>
          <t>C_sosma</t>
        </is>
      </c>
      <c r="W73" s="10" t="inlineStr">
        <is>
          <t>古生代 石炭紀</t>
        </is>
      </c>
      <c r="X73" s="10" t="inlineStr">
        <is>
          <t>Paleozoic Carboniferous</t>
        </is>
      </c>
      <c r="Y73" s="10" t="inlineStr">
        <is>
          <t>海成層 砂岩泥岩互層</t>
        </is>
      </c>
      <c r="Z73" s="10" t="inlineStr">
        <is>
          <t>marine alternation of sandstone &amp; mudstone</t>
        </is>
      </c>
      <c r="AA73" s="10" t="inlineStr">
        <is>
          <t>堆積岩</t>
        </is>
      </c>
      <c r="AB73" s="10" t="inlineStr">
        <is>
          <t>Sedimentary rocks</t>
        </is>
      </c>
      <c r="AC73" s="10" t="inlineStr">
        <is>
          <t>Paleozoic Sedimentary Succession</t>
        </is>
      </c>
    </row>
    <row r="74">
      <c r="A74" s="5" t="inlineStr">
        <is>
          <t>m200k_NJ-54-16･22_u069</t>
        </is>
      </c>
      <c r="B74" s="6" t="inlineStr">
        <is>
          <t>col_8</t>
        </is>
      </c>
      <c r="C74" s="6" t="n">
        <v>7</v>
      </c>
      <c r="D74" s="7" t="inlineStr">
        <is>
          <t>Cisuralian Mudstone (Fukushima Paleozoic)</t>
        </is>
      </c>
      <c r="E74" s="5" t="inlineStr">
        <is>
          <t>Fukushima Paleozoic Sedimentary Succession</t>
        </is>
      </c>
      <c r="F74" s="6" t="inlineStr">
        <is>
          <t>Cisuralian</t>
        </is>
      </c>
      <c r="G74" s="8" t="n">
        <v>274.4</v>
      </c>
      <c r="H74" s="9">
        <f>IF(OR($F74="",$G74=""),"",IFERROR((VLOOKUP($F74,intervals!$A:$C,2,FALSE)-$G74)/(VLOOKUP($F74,intervals!$A:$C,2,FALSE)-VLOOKUP($F74,intervals!$A:$C,3,FALSE)),""))</f>
        <v/>
      </c>
      <c r="I74" s="6" t="inlineStr">
        <is>
          <t>Cisuralian</t>
        </is>
      </c>
      <c r="J74" s="8" t="n">
        <v>298.9</v>
      </c>
      <c r="K74" s="9">
        <f>IF(OR($I74="",$J74=""),"",IFERROR((VLOOKUP($I74,intervals!$A:$C,2,FALSE)-$J74)/(VLOOKUP($I74,intervals!$A:$C,2,FALSE)-VLOOKUP($I74,intervals!$A:$C,3,FALSE)),""))</f>
        <v/>
      </c>
      <c r="L74" s="7" t="inlineStr">
        <is>
          <t>mudstone</t>
        </is>
      </c>
      <c r="M74" s="5" t="inlineStr"/>
      <c r="N74" s="5" t="inlineStr">
        <is>
          <t>marine</t>
        </is>
      </c>
      <c r="O74" s="5" t="inlineStr">
        <is>
          <t>Paleozoic Permian Cisuralian; marine mudstone [Paleozoic Sedimentary Succession]</t>
        </is>
      </c>
      <c r="P74" s="5" t="inlineStr"/>
      <c r="Q74" s="5" t="inlineStr"/>
      <c r="R74" s="5" t="inlineStr">
        <is>
          <t>unknown</t>
        </is>
      </c>
      <c r="S74" s="5" t="inlineStr"/>
      <c r="T74" s="5" t="inlineStr">
        <is>
          <t>GSJ 200k Seamless P1_som</t>
        </is>
      </c>
      <c r="U74" s="5" t="inlineStr"/>
      <c r="V74" s="10" t="inlineStr">
        <is>
          <t>P1_som</t>
        </is>
      </c>
      <c r="W74" s="10" t="inlineStr">
        <is>
          <t>古生代 ペルム紀 シスウラリアン世</t>
        </is>
      </c>
      <c r="X74" s="10" t="inlineStr">
        <is>
          <t>Paleozoic Permian Cisuralian</t>
        </is>
      </c>
      <c r="Y74" s="10" t="inlineStr">
        <is>
          <t>海成層 泥岩</t>
        </is>
      </c>
      <c r="Z74" s="10" t="inlineStr">
        <is>
          <t>marine mudstone</t>
        </is>
      </c>
      <c r="AA74" s="10" t="inlineStr">
        <is>
          <t>堆積岩</t>
        </is>
      </c>
      <c r="AB74" s="10" t="inlineStr">
        <is>
          <t>Sedimentary rocks</t>
        </is>
      </c>
      <c r="AC74" s="10" t="inlineStr">
        <is>
          <t>Paleozoic Sedimentary Succession</t>
        </is>
      </c>
    </row>
    <row r="75">
      <c r="A75" s="5" t="inlineStr">
        <is>
          <t>m200k_NJ-54-16･22_u075</t>
        </is>
      </c>
      <c r="B75" s="6" t="inlineStr">
        <is>
          <t>col_8</t>
        </is>
      </c>
      <c r="C75" s="6" t="n">
        <v>8</v>
      </c>
      <c r="D75" s="7" t="inlineStr">
        <is>
          <t>Cisuralian Conglomerate (Fukushima Paleozoic)</t>
        </is>
      </c>
      <c r="E75" s="5" t="inlineStr">
        <is>
          <t>Fukushima Paleozoic Sedimentary Succession</t>
        </is>
      </c>
      <c r="F75" s="6" t="inlineStr">
        <is>
          <t>Cisuralian</t>
        </is>
      </c>
      <c r="G75" s="8" t="n">
        <v>274.4</v>
      </c>
      <c r="H75" s="9">
        <f>IF(OR($F75="",$G75=""),"",IFERROR((VLOOKUP($F75,intervals!$A:$C,2,FALSE)-$G75)/(VLOOKUP($F75,intervals!$A:$C,2,FALSE)-VLOOKUP($F75,intervals!$A:$C,3,FALSE)),""))</f>
        <v/>
      </c>
      <c r="I75" s="6" t="inlineStr">
        <is>
          <t>Cisuralian</t>
        </is>
      </c>
      <c r="J75" s="8" t="n">
        <v>298.9</v>
      </c>
      <c r="K75" s="9">
        <f>IF(OR($I75="",$J75=""),"",IFERROR((VLOOKUP($I75,intervals!$A:$C,2,FALSE)-$J75)/(VLOOKUP($I75,intervals!$A:$C,2,FALSE)-VLOOKUP($I75,intervals!$A:$C,3,FALSE)),""))</f>
        <v/>
      </c>
      <c r="L75" s="7" t="inlineStr">
        <is>
          <t>conglomerate</t>
        </is>
      </c>
      <c r="M75" s="5" t="inlineStr"/>
      <c r="N75" s="5" t="inlineStr">
        <is>
          <t>marine</t>
        </is>
      </c>
      <c r="O75" s="5" t="inlineStr">
        <is>
          <t>Paleozoic Permian Cisuralian; marine conglomerate [Paleozoic Sedimentary Succession]</t>
        </is>
      </c>
      <c r="P75" s="5" t="inlineStr"/>
      <c r="Q75" s="5" t="inlineStr"/>
      <c r="R75" s="5" t="inlineStr">
        <is>
          <t>unknown</t>
        </is>
      </c>
      <c r="S75" s="5" t="inlineStr"/>
      <c r="T75" s="5" t="inlineStr">
        <is>
          <t>GSJ 200k Seamless P1_soc</t>
        </is>
      </c>
      <c r="U75" s="5" t="inlineStr"/>
      <c r="V75" s="10" t="inlineStr">
        <is>
          <t>P1_soc</t>
        </is>
      </c>
      <c r="W75" s="10" t="inlineStr">
        <is>
          <t>古生代 ペルム紀 シスウラリアン世</t>
        </is>
      </c>
      <c r="X75" s="10" t="inlineStr">
        <is>
          <t>Paleozoic Permian Cisuralian</t>
        </is>
      </c>
      <c r="Y75" s="10" t="inlineStr">
        <is>
          <t>海成層 礫岩</t>
        </is>
      </c>
      <c r="Z75" s="10" t="inlineStr">
        <is>
          <t>marine conglomerate</t>
        </is>
      </c>
      <c r="AA75" s="10" t="inlineStr">
        <is>
          <t>堆積岩</t>
        </is>
      </c>
      <c r="AB75" s="10" t="inlineStr">
        <is>
          <t>Sedimentary rocks</t>
        </is>
      </c>
      <c r="AC75" s="10" t="inlineStr">
        <is>
          <t>Paleozoic Sedimentary Succession</t>
        </is>
      </c>
    </row>
    <row r="76">
      <c r="A76" s="5" t="inlineStr">
        <is>
          <t>m200k_NJ-54-16･22_u070</t>
        </is>
      </c>
      <c r="B76" s="6" t="inlineStr">
        <is>
          <t>col_8</t>
        </is>
      </c>
      <c r="C76" s="6" t="n">
        <v>9</v>
      </c>
      <c r="D76" s="7" t="inlineStr">
        <is>
          <t>Guadalupian Sandstone (Fukushima Paleozoic)</t>
        </is>
      </c>
      <c r="E76" s="5" t="inlineStr">
        <is>
          <t>Fukushima Paleozoic Sedimentary Succession</t>
        </is>
      </c>
      <c r="F76" s="6" t="inlineStr">
        <is>
          <t>Guadalupian</t>
        </is>
      </c>
      <c r="G76" s="8" t="n">
        <v>259.51</v>
      </c>
      <c r="H76" s="9">
        <f>IF(OR($F76="",$G76=""),"",IFERROR((VLOOKUP($F76,intervals!$A:$C,2,FALSE)-$G76)/(VLOOKUP($F76,intervals!$A:$C,2,FALSE)-VLOOKUP($F76,intervals!$A:$C,3,FALSE)),""))</f>
        <v/>
      </c>
      <c r="I76" s="6" t="inlineStr">
        <is>
          <t>Guadalupian</t>
        </is>
      </c>
      <c r="J76" s="8" t="n">
        <v>274.4</v>
      </c>
      <c r="K76" s="9">
        <f>IF(OR($I76="",$J76=""),"",IFERROR((VLOOKUP($I76,intervals!$A:$C,2,FALSE)-$J76)/(VLOOKUP($I76,intervals!$A:$C,2,FALSE)-VLOOKUP($I76,intervals!$A:$C,3,FALSE)),""))</f>
        <v/>
      </c>
      <c r="L76" s="7" t="inlineStr">
        <is>
          <t>sandstone</t>
        </is>
      </c>
      <c r="M76" s="5" t="inlineStr"/>
      <c r="N76" s="5" t="inlineStr">
        <is>
          <t>marine</t>
        </is>
      </c>
      <c r="O76" s="5" t="inlineStr">
        <is>
          <t>Paleozoic Permian Guadalupian; marine sandstone [Paleozoic Sedimentary Succession]</t>
        </is>
      </c>
      <c r="P76" s="5" t="inlineStr"/>
      <c r="Q76" s="5" t="inlineStr"/>
      <c r="R76" s="5" t="inlineStr">
        <is>
          <t>unknown</t>
        </is>
      </c>
      <c r="S76" s="5" t="inlineStr"/>
      <c r="T76" s="5" t="inlineStr">
        <is>
          <t>GSJ 200k Seamless P2_soss</t>
        </is>
      </c>
      <c r="U76" s="5" t="inlineStr"/>
      <c r="V76" s="10" t="inlineStr">
        <is>
          <t>P2_soss</t>
        </is>
      </c>
      <c r="W76" s="10" t="inlineStr">
        <is>
          <t>古生代 ペルム紀 グアダルピアン世</t>
        </is>
      </c>
      <c r="X76" s="10" t="inlineStr">
        <is>
          <t>Paleozoic Permian Guadalupian</t>
        </is>
      </c>
      <c r="Y76" s="10" t="inlineStr">
        <is>
          <t>海成層 砂岩</t>
        </is>
      </c>
      <c r="Z76" s="10" t="inlineStr">
        <is>
          <t>marine sandstone</t>
        </is>
      </c>
      <c r="AA76" s="10" t="inlineStr">
        <is>
          <t>堆積岩</t>
        </is>
      </c>
      <c r="AB76" s="10" t="inlineStr">
        <is>
          <t>Sedimentary rocks</t>
        </is>
      </c>
      <c r="AC76" s="10" t="inlineStr">
        <is>
          <t>Paleozoic Sedimentary Succession</t>
        </is>
      </c>
    </row>
    <row r="77">
      <c r="A77" s="5" t="inlineStr">
        <is>
          <t>m200k_NJ-54-16･22_u071</t>
        </is>
      </c>
      <c r="B77" s="6" t="inlineStr">
        <is>
          <t>col_8</t>
        </is>
      </c>
      <c r="C77" s="6" t="n">
        <v>10</v>
      </c>
      <c r="D77" s="7" t="inlineStr">
        <is>
          <t>Lopingian Mudstone (Fukushima Paleozoic)</t>
        </is>
      </c>
      <c r="E77" s="5" t="inlineStr">
        <is>
          <t>Fukushima Paleozoic Sedimentary Succession</t>
        </is>
      </c>
      <c r="F77" s="6" t="inlineStr">
        <is>
          <t>Lopingian</t>
        </is>
      </c>
      <c r="G77" s="8" t="n">
        <v>251.902</v>
      </c>
      <c r="H77" s="9">
        <f>IF(OR($F77="",$G77=""),"",IFERROR((VLOOKUP($F77,intervals!$A:$C,2,FALSE)-$G77)/(VLOOKUP($F77,intervals!$A:$C,2,FALSE)-VLOOKUP($F77,intervals!$A:$C,3,FALSE)),""))</f>
        <v/>
      </c>
      <c r="I77" s="6" t="inlineStr">
        <is>
          <t>Lopingian</t>
        </is>
      </c>
      <c r="J77" s="8" t="n">
        <v>259.51</v>
      </c>
      <c r="K77" s="9">
        <f>IF(OR($I77="",$J77=""),"",IFERROR((VLOOKUP($I77,intervals!$A:$C,2,FALSE)-$J77)/(VLOOKUP($I77,intervals!$A:$C,2,FALSE)-VLOOKUP($I77,intervals!$A:$C,3,FALSE)),""))</f>
        <v/>
      </c>
      <c r="L77" s="7" t="inlineStr">
        <is>
          <t>mudstone</t>
        </is>
      </c>
      <c r="M77" s="5" t="inlineStr"/>
      <c r="N77" s="5" t="inlineStr">
        <is>
          <t>marine</t>
        </is>
      </c>
      <c r="O77" s="5" t="inlineStr">
        <is>
          <t>Paleozoic Permian Lopingian; marine mudstone [Paleozoic Sedimentary Succession]</t>
        </is>
      </c>
      <c r="P77" s="5" t="inlineStr"/>
      <c r="Q77" s="5" t="inlineStr"/>
      <c r="R77" s="5" t="inlineStr">
        <is>
          <t>unknown</t>
        </is>
      </c>
      <c r="S77" s="5" t="inlineStr"/>
      <c r="T77" s="5" t="inlineStr">
        <is>
          <t>GSJ 200k Seamless P3_som</t>
        </is>
      </c>
      <c r="U77" s="5" t="inlineStr"/>
      <c r="V77" s="10" t="inlineStr">
        <is>
          <t>P3_som</t>
        </is>
      </c>
      <c r="W77" s="10" t="inlineStr">
        <is>
          <t>古生代 ペルム紀 ローピンジアン世</t>
        </is>
      </c>
      <c r="X77" s="10" t="inlineStr">
        <is>
          <t>Paleozoic Permian Lopingian</t>
        </is>
      </c>
      <c r="Y77" s="10" t="inlineStr">
        <is>
          <t>海成層 泥岩</t>
        </is>
      </c>
      <c r="Z77" s="10" t="inlineStr">
        <is>
          <t>marine mudstone</t>
        </is>
      </c>
      <c r="AA77" s="10" t="inlineStr">
        <is>
          <t>堆積岩</t>
        </is>
      </c>
      <c r="AB77" s="10" t="inlineStr">
        <is>
          <t>Sedimentary rocks</t>
        </is>
      </c>
      <c r="AC77" s="10" t="inlineStr">
        <is>
          <t>Paleozoic Sedimentary Succession</t>
        </is>
      </c>
    </row>
    <row r="78">
      <c r="A78" s="5" t="inlineStr">
        <is>
          <t>m200k_NJ-54-16･22_u077</t>
        </is>
      </c>
      <c r="B78" s="6" t="inlineStr">
        <is>
          <t>col_9</t>
        </is>
      </c>
      <c r="C78" s="6" t="n">
        <v>1</v>
      </c>
      <c r="D78" s="7" t="inlineStr">
        <is>
          <t>Rupelian Sandstone (Fukushima Sedimentary)</t>
        </is>
      </c>
      <c r="E78" s="5" t="inlineStr">
        <is>
          <t>Fukushima Sedimentary rocks Succession</t>
        </is>
      </c>
      <c r="F78" s="6" t="inlineStr">
        <is>
          <t>Rupelian</t>
        </is>
      </c>
      <c r="G78" s="8" t="n">
        <v>27.3</v>
      </c>
      <c r="H78" s="9">
        <f>IF(OR($F78="",$G78=""),"",IFERROR((VLOOKUP($F78,intervals!$A:$C,2,FALSE)-$G78)/(VLOOKUP($F78,intervals!$A:$C,2,FALSE)-VLOOKUP($F78,intervals!$A:$C,3,FALSE)),""))</f>
        <v/>
      </c>
      <c r="I78" s="6" t="inlineStr">
        <is>
          <t>Rupelian</t>
        </is>
      </c>
      <c r="J78" s="8" t="n">
        <v>33.9</v>
      </c>
      <c r="K78" s="9">
        <f>IF(OR($I78="",$J78=""),"",IFERROR((VLOOKUP($I78,intervals!$A:$C,2,FALSE)-$J78)/(VLOOKUP($I78,intervals!$A:$C,2,FALSE)-VLOOKUP($I78,intervals!$A:$C,3,FALSE)),""))</f>
        <v/>
      </c>
      <c r="L78" s="7" t="inlineStr">
        <is>
          <t>sandstone</t>
        </is>
      </c>
      <c r="M78" s="5" t="inlineStr">
        <is>
          <t>mudstone</t>
        </is>
      </c>
      <c r="N78" s="5" t="inlineStr">
        <is>
          <t>marine</t>
        </is>
      </c>
      <c r="O78" s="5" t="inlineStr">
        <is>
          <t>Cenozoic Paleogene Oligocene Rupelian; brackish, or marine &amp; non-marine  mixture sandstone, alternation of sandstone &amp; mudstone or sandstone &amp; mudstone  [Sedimentary rocks Succession]</t>
        </is>
      </c>
      <c r="P78" s="5" t="inlineStr"/>
      <c r="Q78" s="5" t="inlineStr"/>
      <c r="R78" s="5" t="inlineStr">
        <is>
          <t>unknown</t>
        </is>
      </c>
      <c r="S78" s="5" t="inlineStr"/>
      <c r="T78" s="5" t="inlineStr">
        <is>
          <t>GSJ 200k Seamless Pg3_sbs</t>
        </is>
      </c>
      <c r="U78" s="5" t="inlineStr"/>
      <c r="V78" s="10" t="inlineStr">
        <is>
          <t>Pg3_sbs</t>
        </is>
      </c>
      <c r="W78" s="10" t="inlineStr">
        <is>
          <t>新生代 古第三紀 漸新世 ルペリアン期</t>
        </is>
      </c>
      <c r="X78" s="10" t="inlineStr">
        <is>
          <t>Cenozoic Paleogene Oligocene Rupelian</t>
        </is>
      </c>
      <c r="Y78" s="10" t="inlineStr">
        <is>
          <t>汽水成層ないし海成・非海成混合層 砂岩，砂岩泥岩互層ないし砂岩・泥岩</t>
        </is>
      </c>
      <c r="Z78" s="10" t="inlineStr">
        <is>
          <t xml:space="preserve">brackish, or marine &amp; non-marine  mixture sandstone, alternation of sandstone &amp; mudstone or sandstone &amp; mudstone </t>
        </is>
      </c>
      <c r="AA78" s="10" t="inlineStr">
        <is>
          <t>堆積岩</t>
        </is>
      </c>
      <c r="AB78" s="10" t="inlineStr">
        <is>
          <t>Sedimentary rocks</t>
        </is>
      </c>
      <c r="AC78" s="10" t="inlineStr">
        <is>
          <t>Sedimentary rocks Succession</t>
        </is>
      </c>
    </row>
    <row r="79">
      <c r="A79" s="5" t="inlineStr">
        <is>
          <t>m200k_NJ-54-16･22_u078</t>
        </is>
      </c>
      <c r="B79" s="6" t="inlineStr">
        <is>
          <t>col_10</t>
        </is>
      </c>
      <c r="C79" s="6" t="n">
        <v>1</v>
      </c>
      <c r="D79" s="7" t="inlineStr">
        <is>
          <t>Barremian Sandstone (Fukushima Accretionary)</t>
        </is>
      </c>
      <c r="E79" s="5" t="inlineStr">
        <is>
          <t>Fukushima Accretionary Complex</t>
        </is>
      </c>
      <c r="F79" s="6" t="inlineStr">
        <is>
          <t>Barremian</t>
        </is>
      </c>
      <c r="G79" s="8" t="n">
        <v>121.4</v>
      </c>
      <c r="H79" s="9">
        <f>IF(OR($F79="",$G79=""),"",IFERROR((VLOOKUP($F79,intervals!$A:$C,2,FALSE)-$G79)/(VLOOKUP($F79,intervals!$A:$C,2,FALSE)-VLOOKUP($F79,intervals!$A:$C,3,FALSE)),""))</f>
        <v/>
      </c>
      <c r="I79" s="6" t="inlineStr">
        <is>
          <t>Callovian</t>
        </is>
      </c>
      <c r="J79" s="8" t="n">
        <v>165.3</v>
      </c>
      <c r="K79" s="9">
        <f>IF(OR($I79="",$J79=""),"",IFERROR((VLOOKUP($I79,intervals!$A:$C,2,FALSE)-$J79)/(VLOOKUP($I79,intervals!$A:$C,2,FALSE)-VLOOKUP($I79,intervals!$A:$C,3,FALSE)),""))</f>
        <v/>
      </c>
      <c r="L79" s="7" t="inlineStr">
        <is>
          <t>sandstone</t>
        </is>
      </c>
      <c r="M79" s="5" t="inlineStr">
        <is>
          <t>mudstone</t>
        </is>
      </c>
      <c r="N79" s="5" t="inlineStr">
        <is>
          <t>marine</t>
        </is>
      </c>
      <c r="O79" s="5" t="inlineStr">
        <is>
          <t>Mesozoic Jurassic Middle Callovian - Early Cretaceous Barremian; marine alternation of sandstone &amp; mudstone Late Jurassic to Early Cretaceous accretionary complex [Accretionary Complex]</t>
        </is>
      </c>
      <c r="P79" s="5" t="inlineStr"/>
      <c r="Q79" s="5" t="inlineStr"/>
      <c r="R79" s="5" t="inlineStr">
        <is>
          <t>unknown</t>
        </is>
      </c>
      <c r="S79" s="5" t="inlineStr"/>
      <c r="T79" s="5" t="inlineStr">
        <is>
          <t>GSJ 200k Seamless J24-K11_sosma_J3</t>
        </is>
      </c>
      <c r="U79" s="5" t="inlineStr"/>
      <c r="V79" s="10" t="inlineStr">
        <is>
          <t>J24-K11_sosma_J3</t>
        </is>
      </c>
      <c r="W79" s="10" t="inlineStr">
        <is>
          <t>中生代 中期ジュラ紀 カロビアン期〜前期白亜紀 バレミアン期</t>
        </is>
      </c>
      <c r="X79" s="10" t="inlineStr">
        <is>
          <t>Mesozoic Jurassic Middle Callovian - Early Cretaceous Barremian</t>
        </is>
      </c>
      <c r="Y79" s="10" t="inlineStr">
        <is>
          <t>海成層 砂岩泥岩互層 後期ジュラ紀-前期白亜紀付加体</t>
        </is>
      </c>
      <c r="Z79" s="10" t="inlineStr">
        <is>
          <t>marine alternation of sandstone &amp; mudstone Late Jurassic to Early Cretaceous accretionary complex</t>
        </is>
      </c>
      <c r="AA79" s="10" t="inlineStr">
        <is>
          <t>付加体</t>
        </is>
      </c>
      <c r="AB79" s="10" t="inlineStr">
        <is>
          <t>Accretionary complexes</t>
        </is>
      </c>
      <c r="AC79" s="10" t="inlineStr">
        <is>
          <t>Accretionary Complex</t>
        </is>
      </c>
    </row>
  </sheetData>
  <autoFilter ref="A1:AC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Fukushima (Quaternary Basin &amp; Terrace Deposits) Column</t>
        </is>
      </c>
      <c r="C2" s="11" t="inlineStr">
        <is>
          <t>GSJ_200K_NJ_54_16･22_Quaternary_Basin_and_Terrace_Deposits</t>
        </is>
      </c>
      <c r="D2" s="11" t="inlineStr">
        <is>
          <t>Quaternary Basin &amp; Terrace Deposits</t>
        </is>
      </c>
      <c r="E2" s="11" t="inlineStr">
        <is>
          <t>Pleistocene</t>
        </is>
      </c>
      <c r="F2" s="11" t="inlineStr">
        <is>
          <t>Holocene</t>
        </is>
      </c>
      <c r="G2" s="11" t="n">
        <v>0</v>
      </c>
      <c r="H2" s="11" t="n">
        <v>1</v>
      </c>
      <c r="I2" s="11" t="inlineStr">
        <is>
          <t>POLYGON((140.0 37.333333, 141.0 37.333333, 141.0 38.0, 140.0 38.0, 140.0 37.333333))</t>
        </is>
      </c>
      <c r="J2" s="11" t="inlineStr">
        <is>
          <t>POINT(140.5 37.666666500000005)</t>
        </is>
      </c>
      <c r="K2" s="11" t="inlineStr">
        <is>
          <t>GSJ 200k Tectonic Skeleton: Quaternary Basin &amp; Terrace Deposits in 福島 (NJ-54-16･22)</t>
        </is>
      </c>
    </row>
    <row r="3">
      <c r="A3" s="11" t="inlineStr">
        <is>
          <t>col_2</t>
        </is>
      </c>
      <c r="B3" s="11" t="inlineStr">
        <is>
          <t>Fukushima (Neogene-Paleogene Volcanic Complex) Column</t>
        </is>
      </c>
      <c r="C3" s="11" t="inlineStr">
        <is>
          <t>GSJ_200K_NJ_54_16･22_Neogene-Paleogene_Volcanic_Complex</t>
        </is>
      </c>
      <c r="D3" s="11" t="inlineStr">
        <is>
          <t>Neogene-Paleogene Volcanic Complex</t>
        </is>
      </c>
      <c r="E3" s="11" t="inlineStr">
        <is>
          <t>Aptian</t>
        </is>
      </c>
      <c r="F3" s="11" t="inlineStr">
        <is>
          <t>Pliocene</t>
        </is>
      </c>
      <c r="G3" s="11" t="n">
        <v>0</v>
      </c>
      <c r="H3" s="11" t="n">
        <v>1</v>
      </c>
      <c r="I3" s="11" t="inlineStr">
        <is>
          <t>POLYGON((140.0 37.333333, 141.0 37.333333, 141.0 38.0, 140.0 38.0, 140.0 37.333333))</t>
        </is>
      </c>
      <c r="J3" s="11" t="inlineStr">
        <is>
          <t>POINT(140.5 37.666666500000005)</t>
        </is>
      </c>
      <c r="K3" s="11" t="inlineStr">
        <is>
          <t>GSJ 200k Tectonic Skeleton: Neogene-Paleogene Volcanic Complex in 福島 (NJ-54-16･22)</t>
        </is>
      </c>
    </row>
    <row r="4">
      <c r="A4" s="11" t="inlineStr">
        <is>
          <t>col_3</t>
        </is>
      </c>
      <c r="B4" s="11" t="inlineStr">
        <is>
          <t>Fukushima (Mesozoic Sedimentary Basin) Column</t>
        </is>
      </c>
      <c r="C4" s="11" t="inlineStr">
        <is>
          <t>GSJ_200K_NJ_54_16･22_Mesozoic_Sedimentary_Basin</t>
        </is>
      </c>
      <c r="D4" s="11" t="inlineStr">
        <is>
          <t>Mesozoic Sedimentary Basin</t>
        </is>
      </c>
      <c r="E4" s="11" t="inlineStr">
        <is>
          <t>Triassic</t>
        </is>
      </c>
      <c r="F4" s="11" t="inlineStr">
        <is>
          <t>Maastrichtian</t>
        </is>
      </c>
      <c r="G4" s="11" t="n">
        <v>0</v>
      </c>
      <c r="H4" s="11" t="n">
        <v>1</v>
      </c>
      <c r="I4" s="11" t="inlineStr">
        <is>
          <t>POLYGON((140.0 37.333333, 141.0 37.333333, 141.0 38.0, 140.0 38.0, 140.0 37.333333))</t>
        </is>
      </c>
      <c r="J4" s="11" t="inlineStr">
        <is>
          <t>POINT(140.5 37.666666500000005)</t>
        </is>
      </c>
      <c r="K4" s="11" t="inlineStr">
        <is>
          <t>GSJ 200k Tectonic Skeleton: Mesozoic Sedimentary Basin in 福島 (NJ-54-16･22)</t>
        </is>
      </c>
    </row>
    <row r="5">
      <c r="A5" s="11" t="inlineStr">
        <is>
          <t>col_4</t>
        </is>
      </c>
      <c r="B5" s="11" t="inlineStr">
        <is>
          <t>Fukushima (Neogene Sedimentary Basin) Column</t>
        </is>
      </c>
      <c r="C5" s="11" t="inlineStr">
        <is>
          <t>GSJ_200K_NJ_54_16･22_Neogene_Sedimentary_Basin</t>
        </is>
      </c>
      <c r="D5" s="11" t="inlineStr">
        <is>
          <t>Neogene Sedimentary Basin</t>
        </is>
      </c>
      <c r="E5" s="11" t="inlineStr">
        <is>
          <t>Burdigalian</t>
        </is>
      </c>
      <c r="F5" s="11" t="inlineStr">
        <is>
          <t>Pliocene</t>
        </is>
      </c>
      <c r="G5" s="11" t="n">
        <v>0</v>
      </c>
      <c r="H5" s="11" t="n">
        <v>1</v>
      </c>
      <c r="I5" s="11" t="inlineStr">
        <is>
          <t>POLYGON((140.0 37.333333, 141.0 37.333333, 141.0 38.0, 140.0 38.0, 140.0 37.333333))</t>
        </is>
      </c>
      <c r="J5" s="11" t="inlineStr">
        <is>
          <t>POINT(140.5 37.666666500000005)</t>
        </is>
      </c>
      <c r="K5" s="11" t="inlineStr">
        <is>
          <t>GSJ 200k Tectonic Skeleton: Neogene Sedimentary Basin in 福島 (NJ-54-16･22)</t>
        </is>
      </c>
    </row>
    <row r="6">
      <c r="A6" s="11" t="inlineStr">
        <is>
          <t>col_5</t>
        </is>
      </c>
      <c r="B6" s="11" t="inlineStr">
        <is>
          <t>Fukushima (Metamorphic Belt) Column</t>
        </is>
      </c>
      <c r="C6" s="11" t="inlineStr">
        <is>
          <t>GSJ_200K_NJ_54_16･22_Metamorphic_Belt</t>
        </is>
      </c>
      <c r="D6" s="11" t="inlineStr">
        <is>
          <t>Metamorphic Belt</t>
        </is>
      </c>
      <c r="E6" s="11" t="inlineStr">
        <is>
          <t>Ordovician</t>
        </is>
      </c>
      <c r="F6" s="11" t="inlineStr">
        <is>
          <t>Albian</t>
        </is>
      </c>
      <c r="G6" s="11" t="n">
        <v>0</v>
      </c>
      <c r="H6" s="11" t="n">
        <v>1</v>
      </c>
      <c r="I6" s="11" t="inlineStr">
        <is>
          <t>POLYGON((140.0 37.333333, 141.0 37.333333, 141.0 38.0, 140.0 38.0, 140.0 37.333333))</t>
        </is>
      </c>
      <c r="J6" s="11" t="inlineStr">
        <is>
          <t>POINT(140.5 37.666666500000005)</t>
        </is>
      </c>
      <c r="K6" s="11" t="inlineStr">
        <is>
          <t>GSJ 200k Tectonic Skeleton: Metamorphic Belt in 福島 (NJ-54-16･22)</t>
        </is>
      </c>
    </row>
    <row r="7">
      <c r="A7" s="11" t="inlineStr">
        <is>
          <t>col_6</t>
        </is>
      </c>
      <c r="B7" s="11" t="inlineStr">
        <is>
          <t>Fukushima (Plutonic Complex) Column</t>
        </is>
      </c>
      <c r="C7" s="11" t="inlineStr">
        <is>
          <t>GSJ_200K_NJ_54_16･22_Plutonic_Complex</t>
        </is>
      </c>
      <c r="D7" s="11" t="inlineStr">
        <is>
          <t>Plutonic Complex</t>
        </is>
      </c>
      <c r="E7" s="11" t="inlineStr">
        <is>
          <t>Aptian</t>
        </is>
      </c>
      <c r="F7" s="11" t="inlineStr">
        <is>
          <t>Albian</t>
        </is>
      </c>
      <c r="G7" s="11" t="n">
        <v>0</v>
      </c>
      <c r="H7" s="11" t="n">
        <v>1</v>
      </c>
      <c r="I7" s="11" t="inlineStr">
        <is>
          <t>POLYGON((140.0 37.333333, 141.0 37.333333, 141.0 38.0, 140.0 38.0, 140.0 37.333333))</t>
        </is>
      </c>
      <c r="J7" s="11" t="inlineStr">
        <is>
          <t>POINT(140.5 37.666666500000005)</t>
        </is>
      </c>
      <c r="K7" s="11" t="inlineStr">
        <is>
          <t>GSJ 200k Tectonic Skeleton: Plutonic Complex in 福島 (NJ-54-16･22)</t>
        </is>
      </c>
    </row>
    <row r="8">
      <c r="A8" s="11" t="inlineStr">
        <is>
          <t>col_7</t>
        </is>
      </c>
      <c r="B8" s="11" t="inlineStr">
        <is>
          <t>Fukushima (Quaternary Volcanic Arc) Column</t>
        </is>
      </c>
      <c r="C8" s="11" t="inlineStr">
        <is>
          <t>GSJ_200K_NJ_54_16･22_Quaternary_Volcanic_Arc</t>
        </is>
      </c>
      <c r="D8" s="11" t="inlineStr">
        <is>
          <t>Quaternary Volcanic Arc</t>
        </is>
      </c>
      <c r="E8" s="11" t="inlineStr">
        <is>
          <t>Gelasian</t>
        </is>
      </c>
      <c r="F8" s="11" t="inlineStr">
        <is>
          <t>Holocene</t>
        </is>
      </c>
      <c r="G8" s="11" t="n">
        <v>0</v>
      </c>
      <c r="H8" s="11" t="n">
        <v>1</v>
      </c>
      <c r="I8" s="11" t="inlineStr">
        <is>
          <t>POLYGON((140.0 37.333333, 141.0 37.333333, 141.0 38.0, 140.0 38.0, 140.0 37.333333))</t>
        </is>
      </c>
      <c r="J8" s="11" t="inlineStr">
        <is>
          <t>POINT(140.5 37.666666500000005)</t>
        </is>
      </c>
      <c r="K8" s="11" t="inlineStr">
        <is>
          <t>GSJ 200k Tectonic Skeleton: Quaternary Volcanic Arc in 福島 (NJ-54-16･22)</t>
        </is>
      </c>
    </row>
    <row r="9">
      <c r="A9" s="11" t="inlineStr">
        <is>
          <t>col_8</t>
        </is>
      </c>
      <c r="B9" s="11" t="inlineStr">
        <is>
          <t>Fukushima (Paleozoic Sedimentary Succession) Column</t>
        </is>
      </c>
      <c r="C9" s="11" t="inlineStr">
        <is>
          <t>GSJ_200K_NJ_54_16･22_Paleozoic_Sedimentary_Succession</t>
        </is>
      </c>
      <c r="D9" s="11" t="inlineStr">
        <is>
          <t>Paleozoic Sedimentary Succession</t>
        </is>
      </c>
      <c r="E9" s="11" t="inlineStr">
        <is>
          <t>Ordovician</t>
        </is>
      </c>
      <c r="F9" s="11" t="inlineStr">
        <is>
          <t>Lopingian</t>
        </is>
      </c>
      <c r="G9" s="11" t="n">
        <v>0</v>
      </c>
      <c r="H9" s="11" t="n">
        <v>1</v>
      </c>
      <c r="I9" s="11" t="inlineStr">
        <is>
          <t>POLYGON((140.0 37.333333, 141.0 37.333333, 141.0 38.0, 140.0 38.0, 140.0 37.333333))</t>
        </is>
      </c>
      <c r="J9" s="11" t="inlineStr">
        <is>
          <t>POINT(140.5 37.666666500000005)</t>
        </is>
      </c>
      <c r="K9" s="11" t="inlineStr">
        <is>
          <t>GSJ 200k Tectonic Skeleton: Paleozoic Sedimentary Succession in 福島 (NJ-54-16･22)</t>
        </is>
      </c>
    </row>
    <row r="10">
      <c r="A10" s="11" t="inlineStr">
        <is>
          <t>col_9</t>
        </is>
      </c>
      <c r="B10" s="11" t="inlineStr">
        <is>
          <t>Fukushima (Sedimentary rocks Succession) Column</t>
        </is>
      </c>
      <c r="C10" s="11" t="inlineStr">
        <is>
          <t>GSJ_200K_NJ_54_16･22_Sedimentary_rocks_Succession</t>
        </is>
      </c>
      <c r="D10" s="11" t="inlineStr">
        <is>
          <t>Sedimentary rocks Succession</t>
        </is>
      </c>
      <c r="E10" s="11" t="inlineStr">
        <is>
          <t>Rupelian</t>
        </is>
      </c>
      <c r="F10" s="11" t="inlineStr">
        <is>
          <t>Rupelian</t>
        </is>
      </c>
      <c r="G10" s="11" t="n">
        <v>0</v>
      </c>
      <c r="H10" s="11" t="n">
        <v>1</v>
      </c>
      <c r="I10" s="11" t="inlineStr">
        <is>
          <t>POLYGON((140.0 37.333333, 141.0 37.333333, 141.0 38.0, 140.0 38.0, 140.0 37.333333))</t>
        </is>
      </c>
      <c r="J10" s="11" t="inlineStr">
        <is>
          <t>POINT(140.5 37.666666500000005)</t>
        </is>
      </c>
      <c r="K10" s="11" t="inlineStr">
        <is>
          <t>GSJ 200k Tectonic Skeleton: Sedimentary rocks Succession in 福島 (NJ-54-16･22)</t>
        </is>
      </c>
    </row>
    <row r="11">
      <c r="A11" s="11" t="inlineStr">
        <is>
          <t>col_10</t>
        </is>
      </c>
      <c r="B11" s="11" t="inlineStr">
        <is>
          <t>Fukushima (Accretionary Complex) Column</t>
        </is>
      </c>
      <c r="C11" s="11" t="inlineStr">
        <is>
          <t>GSJ_200K_NJ_54_16･22_Accretionary_Complex</t>
        </is>
      </c>
      <c r="D11" s="11" t="inlineStr">
        <is>
          <t>Accretionary Complex</t>
        </is>
      </c>
      <c r="E11" s="11" t="inlineStr">
        <is>
          <t>Callovian</t>
        </is>
      </c>
      <c r="F11" s="11" t="inlineStr">
        <is>
          <t>Barremian</t>
        </is>
      </c>
      <c r="G11" s="11" t="n">
        <v>0</v>
      </c>
      <c r="H11" s="11" t="n">
        <v>1</v>
      </c>
      <c r="I11" s="11" t="inlineStr">
        <is>
          <t>POLYGON((140.0 37.333333, 141.0 37.333333, 141.0 38.0, 140.0 38.0, 140.0 37.333333))</t>
        </is>
      </c>
      <c r="J11" s="11" t="inlineStr">
        <is>
          <t>POINT(140.5 37.666666500000005)</t>
        </is>
      </c>
      <c r="K11" s="11" t="inlineStr">
        <is>
          <t>GSJ 200k Tectonic Skeleton: Accretionary Complex in 福島 (NJ-54-16･22)</t>
        </is>
      </c>
    </row>
  </sheetData>
  <autoFilter ref="A1:K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福島 (Fukushima)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2003</t>
        </is>
      </c>
      <c r="H2" s="11" t="inlineStr"/>
      <c r="I2" s="11" t="inlineStr">
        <is>
          <t>https://www.gsj.jp/Map/JP/geology2.html</t>
        </is>
      </c>
      <c r="J2" s="11" t="inlineStr">
        <is>
          <t>IMW Sheet NJ-54-16･22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GSJ_200K_NJ_54_16･22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NJ-54-16･22</t>
        </is>
      </c>
    </row>
    <row r="3">
      <c r="A3" s="11" t="inlineStr">
        <is>
          <t>name_ja</t>
        </is>
      </c>
      <c r="B3" s="11" t="inlineStr">
        <is>
          <t>福島</t>
        </is>
      </c>
    </row>
    <row r="4">
      <c r="A4" s="11" t="inlineStr">
        <is>
          <t>name_en</t>
        </is>
      </c>
      <c r="B4" s="11" t="inlineStr">
        <is>
          <t>Fukushima</t>
        </is>
      </c>
    </row>
    <row r="5">
      <c r="A5" s="11" t="inlineStr">
        <is>
          <t>region</t>
        </is>
      </c>
      <c r="B5" s="11" t="inlineStr">
        <is>
          <t>02_東北</t>
        </is>
      </c>
    </row>
    <row r="6">
      <c r="A6" s="11" t="inlineStr">
        <is>
          <t>pub_year</t>
        </is>
      </c>
      <c r="B6" s="11" t="inlineStr">
        <is>
          <t>2003</t>
        </is>
      </c>
    </row>
    <row r="7">
      <c r="A7" s="11" t="inlineStr">
        <is>
          <t>bbox</t>
        </is>
      </c>
      <c r="B7" s="11" t="inlineStr">
        <is>
          <t>[37.333333, 140.0, 38.0, 141.0]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m200k_NJ-54-16･22_u001</t>
        </is>
      </c>
      <c r="B2" s="11" t="inlineStr">
        <is>
          <t>Holocene Sedimentary (Fukushima Quaternary)</t>
        </is>
      </c>
      <c r="C2" s="11" t="inlineStr">
        <is>
          <t>新生代 第四紀 完新世 谷底平野・山間盆地・河川・海岸平野堆積物</t>
        </is>
      </c>
      <c r="D2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3">
      <c r="A3" s="11" t="inlineStr">
        <is>
          <t>m200k_NJ-54-16･22_u002</t>
        </is>
      </c>
      <c r="B3" s="11" t="inlineStr">
        <is>
          <t>Pleistocene Gravel (Fukushima Quaternary)</t>
        </is>
      </c>
      <c r="C3" s="11" t="inlineStr">
        <is>
          <t>新生代 第四紀 後期更新世中期〜後期更新世後期 段丘堆積物</t>
        </is>
      </c>
      <c r="D3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4">
      <c r="A4" s="11" t="inlineStr">
        <is>
          <t>m200k_NJ-54-16･22_u003</t>
        </is>
      </c>
      <c r="B4" s="11" t="inlineStr">
        <is>
          <t>Pleistocene Sedimentary (Fukushima Quaternary)</t>
        </is>
      </c>
      <c r="C4" s="11" t="inlineStr">
        <is>
          <t>新生代 第四紀 更新世 ジェラシアン期〜前期チバニアン期 非海成層</t>
        </is>
      </c>
      <c r="D4" s="11" t="inlineStr">
        <is>
          <t>新生代 第四紀 更新世 ジェラシアン期〜前期チバニアン期（Cenozoic Quaternary Pleistocene Gelasian - early Middle Pleistocene）に形成された非海成層（non-marine sediments）。産総研シームレス地質図V2凡例記号: Q1-21_sn</t>
        </is>
      </c>
    </row>
    <row r="5">
      <c r="A5" s="11" t="inlineStr">
        <is>
          <t>m200k_NJ-54-16･22_u004</t>
        </is>
      </c>
      <c r="B5" s="11" t="inlineStr">
        <is>
          <t>Pleistocene Volcanic (Fukushima Quaternary)</t>
        </is>
      </c>
      <c r="C5" s="11" t="inlineStr">
        <is>
          <t>新生代 第四紀 後期更新世 火山岩 岩屑なだれ堆積物</t>
        </is>
      </c>
      <c r="D5" s="11" t="inlineStr">
        <is>
          <t>新生代 第四紀 後期更新世（Cenozoic Quaternary Late Pleistocene）に形成された火山岩 岩屑なだれ堆積物（volcanic rocks debris avalanche deposits）。産総研シームレス地質図V2凡例記号: Q3_v_ad</t>
        </is>
      </c>
    </row>
    <row r="6">
      <c r="A6" s="11" t="inlineStr">
        <is>
          <t>m200k_NJ-54-16･22_u005</t>
        </is>
      </c>
      <c r="B6" s="11" t="inlineStr">
        <is>
          <t>Holocene Sedimentary (Fukushima Quaternary)</t>
        </is>
      </c>
      <c r="C6" s="11" t="inlineStr">
        <is>
          <t>新生代 第四紀 完新世 海岸・砂丘堆積物</t>
        </is>
      </c>
      <c r="D6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7">
      <c r="A7" s="11" t="inlineStr">
        <is>
          <t>m200k_NJ-54-16･22_u006</t>
        </is>
      </c>
      <c r="B7" s="11" t="inlineStr">
        <is>
          <t>Holocene Sedimentary (Fukushima Quaternary)</t>
        </is>
      </c>
      <c r="C7" s="11" t="inlineStr">
        <is>
          <t>新生代 第四紀 後期更新世後期〜完新世 扇状地・崖錐堆積物</t>
        </is>
      </c>
      <c r="D7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8">
      <c r="A8" s="11" t="inlineStr">
        <is>
          <t>m200k_NJ-54-16･22_u007</t>
        </is>
      </c>
      <c r="B8" s="11" t="inlineStr">
        <is>
          <t>Holocene Sedimentary (Fukushima Quaternary)</t>
        </is>
      </c>
      <c r="C8" s="11" t="inlineStr">
        <is>
          <t>新生代 第四紀 完新世 自然堤防堆積物</t>
        </is>
      </c>
      <c r="D8" s="11" t="inlineStr">
        <is>
          <t>新生代 第四紀 完新世（Cenozoic Quaternary Holocene）に形成された自然堤防堆積物（natural levee deposits）。産総研シームレス地質図V2凡例記号: H_svd</t>
        </is>
      </c>
    </row>
    <row r="9">
      <c r="A9" s="11" t="inlineStr">
        <is>
          <t>m200k_NJ-54-16･22_u008</t>
        </is>
      </c>
      <c r="B9" s="11" t="inlineStr">
        <is>
          <t>Pleistocene Gravel (Fukushima Quaternary)</t>
        </is>
      </c>
      <c r="C9" s="11" t="inlineStr">
        <is>
          <t>新生代 第四紀 後期更新世前期 段丘堆積物</t>
        </is>
      </c>
      <c r="D9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10">
      <c r="A10" s="11" t="inlineStr">
        <is>
          <t>m200k_NJ-54-16･22_u009</t>
        </is>
      </c>
      <c r="B10" s="11" t="inlineStr">
        <is>
          <t>Pleistocene Gravel (Fukushima Quaternary)</t>
        </is>
      </c>
      <c r="C10" s="11" t="inlineStr">
        <is>
          <t>新生代 第四紀 後期チバニアン期 段丘堆積物</t>
        </is>
      </c>
      <c r="D10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11">
      <c r="A11" s="11" t="inlineStr">
        <is>
          <t>m200k_NJ-54-16･22_u010</t>
        </is>
      </c>
      <c r="B11" s="11" t="inlineStr">
        <is>
          <t>Holocene Sedimentary (Fukushima Quaternary)</t>
        </is>
      </c>
      <c r="C11" s="11" t="inlineStr">
        <is>
          <t>新生代 第四紀 後期チバニアン期〜完新世 地すべり堆積物</t>
        </is>
      </c>
      <c r="D11" s="11" t="inlineStr">
        <is>
          <t>新生代 第四紀 後期チバニアン期〜完新世（Cenozoic Quaternary late Middle Pleistocene - Holocene）に形成された地すべり堆積物（landslide deposits）。産総研シームレス地質図V2凡例記号: Q22-H_sdd</t>
        </is>
      </c>
    </row>
    <row r="12">
      <c r="A12" s="11" t="inlineStr">
        <is>
          <t>m200k_NJ-54-16･22_u011</t>
        </is>
      </c>
      <c r="B12" s="11" t="inlineStr">
        <is>
          <t>Holocene Sedimentary (Fukushima Quaternary)</t>
        </is>
      </c>
      <c r="C12" s="11" t="inlineStr">
        <is>
          <t>新生代 第四紀 後期完新世 盛り土・埋立地・干拓地</t>
        </is>
      </c>
      <c r="D12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13">
      <c r="A13" s="11" t="inlineStr">
        <is>
          <t>m200k_NJ-54-16･22_u012</t>
        </is>
      </c>
      <c r="B13" s="11" t="inlineStr">
        <is>
          <t>Pleistocene Volcanic (Fukushima Quaternary)</t>
        </is>
      </c>
      <c r="C13" s="11" t="inlineStr">
        <is>
          <t>新生代 第四紀 チバニアン期 火山岩 岩屑なだれ堆積物</t>
        </is>
      </c>
      <c r="D13" s="11" t="inlineStr">
        <is>
          <t>新生代 第四紀 チバニアン期（Cenozoic Quaternary Middle Pleistocene）に形成された火山岩 岩屑なだれ堆積物（volcanic rocks debris avalanche deposits）。産総研シームレス地質図V2凡例記号: Q2_v_ad</t>
        </is>
      </c>
    </row>
    <row r="14">
      <c r="A14" s="11" t="inlineStr">
        <is>
          <t>m200k_NJ-54-16･22_u013</t>
        </is>
      </c>
      <c r="B14" s="11" t="inlineStr">
        <is>
          <t>Holocene Volcanic (Fukushima Quaternary)</t>
        </is>
      </c>
      <c r="C14" s="11" t="inlineStr">
        <is>
          <t>新生代 第四紀 完新世 火山岩 岩屑なだれ堆積物</t>
        </is>
      </c>
      <c r="D14" s="11" t="inlineStr">
        <is>
          <t>新生代 第四紀 完新世（Cenozoic Quaternary Holocene）に形成された火山岩 岩屑なだれ堆積物（volcanic rocks debris avalanche deposits）。産総研シームレス地質図V2凡例記号: H_v_ad</t>
        </is>
      </c>
    </row>
    <row r="15">
      <c r="A15" s="11" t="inlineStr">
        <is>
          <t>m200k_NJ-54-16･22_u014</t>
        </is>
      </c>
      <c r="B15" s="11" t="inlineStr">
        <is>
          <t>Pliocene Dacite (Fukushima Neogene-Paleogene)</t>
        </is>
      </c>
      <c r="C15" s="11" t="inlineStr">
        <is>
          <t>新生代 新第三紀 中新世 メッシニアン期〜鮮新世 デイサイト・流紋岩 溶岩・火砕岩</t>
        </is>
      </c>
      <c r="D15" s="11" t="inlineStr">
        <is>
          <t>新生代 新第三紀 中新世 メッシニアン期〜鮮新世（Cenozoic Neogene Miocene Messinian - Pliocene）に形成されたデイサイト・流紋岩 溶岩・火砕岩（dacite &amp; rhyolite lava &amp; pyroclastic rocks）。産総研シームレス地質図V2凡例記号: N3_vas_al</t>
        </is>
      </c>
    </row>
    <row r="16">
      <c r="A16" s="11" t="inlineStr">
        <is>
          <t>m200k_NJ-54-16･22_u015</t>
        </is>
      </c>
      <c r="B16" s="11" t="inlineStr">
        <is>
          <t>Langhian Dacite (Fukushima Neogene-Paleogene)</t>
        </is>
      </c>
      <c r="C16" s="11" t="inlineStr">
        <is>
          <t>新生代 新第三紀 中新世 バーディガリアン期〜前期ランギアン期 デイサイト・流紋岩 溶岩・火砕岩</t>
        </is>
      </c>
      <c r="D16" s="11" t="inlineStr">
        <is>
          <t>新生代 新第三紀 中新世 バーディガリアン期〜前期ランギアン期（Cenozoic Neogene Miocene Burdigalian - early Langhian）に形成されたデイサイト・流紋岩 溶岩・火砕岩（dacite &amp; rhyolite lava &amp; pyroclastic rocks）。産総研シームレス地質図V2凡例記号: N1_vas_al</t>
        </is>
      </c>
    </row>
    <row r="17">
      <c r="A17" s="11" t="inlineStr">
        <is>
          <t>m200k_NJ-54-16･22_u016</t>
        </is>
      </c>
      <c r="B17" s="11" t="inlineStr">
        <is>
          <t>Langhian Andesite (Fukushima Neogene-Paleogene)</t>
        </is>
      </c>
      <c r="C17" s="11" t="inlineStr">
        <is>
          <t>新生代 新第三紀 中新世 バーディガリアン期〜前期ランギアン期 安山岩・玄武岩質安山岩 溶岩・火砕岩</t>
        </is>
      </c>
      <c r="D17" s="11" t="inlineStr">
        <is>
          <t>新生代 新第三紀 中新世 バーディガリアン期〜前期ランギアン期（Cenozoic Neogene Miocene Burdigalian - early Langhian）に形成された安山岩・玄武岩質安山岩 溶岩・火砕岩（andesite &amp; basaltic andesite lava &amp; pyroclastic rocks）。産総研シームレス地質図V2凡例記号: N1_vis_al</t>
        </is>
      </c>
    </row>
    <row r="18">
      <c r="A18" s="11" t="inlineStr">
        <is>
          <t>m200k_NJ-54-16･22_u017</t>
        </is>
      </c>
      <c r="B18" s="11" t="inlineStr">
        <is>
          <t>Pliocene Dacite (Fukushima Neogene-Paleogene)</t>
        </is>
      </c>
      <c r="C18" s="11" t="inlineStr">
        <is>
          <t>新生代 新第三紀 中新世 メッシニアン期〜鮮新世 デイサイト・流紋岩 大規模火砕流</t>
        </is>
      </c>
      <c r="D18" s="11" t="inlineStr">
        <is>
          <t>新生代 新第三紀 中新世 メッシニアン期〜鮮新世（Cenozoic Neogene Miocene Messinian - Pliocene）に形成されたデイサイト・流紋岩 大規模火砕流（dacite &amp; rhyolite pyroclastic rocks）。産総研シームレス地質図V2凡例記号: N3_vas_ap</t>
        </is>
      </c>
    </row>
    <row r="19">
      <c r="A19" s="11" t="inlineStr">
        <is>
          <t>m200k_NJ-54-16･22_u018</t>
        </is>
      </c>
      <c r="B19" s="11" t="inlineStr">
        <is>
          <t>Tortonian Dacite (Fukushima Neogene-Paleogene)</t>
        </is>
      </c>
      <c r="C19" s="11" t="inlineStr">
        <is>
          <t>新生代 新第三紀 中新世 後期ランギアン期〜トートニアン期 デイサイト・流紋岩 溶岩・火砕岩</t>
        </is>
      </c>
      <c r="D19" s="11" t="inlineStr">
        <is>
          <t>新生代 新第三紀 中新世 後期ランギアン期〜トートニアン期（Cenozoic Neogene Miocene late Langhian - Tortonian）に形成されたデイサイト・流紋岩 溶岩・火砕岩（dacite &amp; rhyolite lava &amp; pyroclastic rocks）。産総研シームレス地質図V2凡例記号: N2_vas_al</t>
        </is>
      </c>
    </row>
    <row r="20">
      <c r="A20" s="11" t="inlineStr">
        <is>
          <t>m200k_NJ-54-16･22_u019</t>
        </is>
      </c>
      <c r="B20" s="11" t="inlineStr">
        <is>
          <t>Pliocene Dacite (Fukushima Neogene-Paleogene)</t>
        </is>
      </c>
      <c r="C20" s="11" t="inlineStr">
        <is>
          <t>新生代 新第三紀 中新世 メッシニアン期〜鮮新世 デイサイト・流紋岩 貫入岩</t>
        </is>
      </c>
      <c r="D20" s="11" t="inlineStr">
        <is>
          <t>新生代 新第三紀 中新世 メッシニアン期〜鮮新世（Cenozoic Neogene Miocene Messinian - Pliocene）に形成されたデイサイト・流紋岩 貫入岩（dacite &amp; rhyolite intrusives rocks）。産総研シームレス地質図V2凡例記号: N3_vas_ai</t>
        </is>
      </c>
    </row>
    <row r="21">
      <c r="A21" s="11" t="inlineStr">
        <is>
          <t>m200k_NJ-54-16･22_u020</t>
        </is>
      </c>
      <c r="B21" s="11" t="inlineStr">
        <is>
          <t>Pliocene Andesite (Fukushima Neogene-Paleogene)</t>
        </is>
      </c>
      <c r="C21" s="11" t="inlineStr">
        <is>
          <t>新生代 新第三紀 中新世 メッシニアン期〜鮮新世 安山岩・玄武岩質安山岩 溶岩・火砕岩</t>
        </is>
      </c>
      <c r="D21" s="11" t="inlineStr">
        <is>
          <t>新生代 新第三紀 中新世 メッシニアン期〜鮮新世（Cenozoic Neogene Miocene Messinian - Pliocene）に形成された安山岩・玄武岩質安山岩 溶岩・火砕岩（andesite &amp; basaltic andesite lava &amp; pyroclastic rocks）。産総研シームレス地質図V2凡例記号: N3_vis_al</t>
        </is>
      </c>
    </row>
    <row r="22">
      <c r="A22" s="11" t="inlineStr">
        <is>
          <t>m200k_NJ-54-16･22_u021</t>
        </is>
      </c>
      <c r="B22" s="11" t="inlineStr">
        <is>
          <t>Tortonian Basalt (Fukushima Neogene-Paleogene)</t>
        </is>
      </c>
      <c r="C22" s="11" t="inlineStr">
        <is>
          <t>新生代 新第三紀 中新世 後期ランギアン期〜トートニアン期 玄武岩 貫入岩</t>
        </is>
      </c>
      <c r="D22" s="11" t="inlineStr">
        <is>
          <t>新生代 新第三紀 中新世 後期ランギアン期〜トートニアン期（Cenozoic Neogene Miocene late Langhian - Tortonian）に形成された玄武岩 貫入岩（basalt intrusives rocks）。産総研シームレス地質図V2凡例記号: N2_vbs_ai</t>
        </is>
      </c>
    </row>
    <row r="23">
      <c r="A23" s="11" t="inlineStr">
        <is>
          <t>m200k_NJ-54-16･22_u022</t>
        </is>
      </c>
      <c r="B23" s="11" t="inlineStr">
        <is>
          <t>Aquitanian Andesite (Fukushima Neogene-Paleogene)</t>
        </is>
      </c>
      <c r="C23" s="11" t="inlineStr">
        <is>
          <t>新生代 古第三紀 漸新世 チャッティアン期〜新第三紀 中新世 アキタニアン期 安山岩・玄武岩質安山岩 溶岩・火砕岩</t>
        </is>
      </c>
      <c r="D23" s="11" t="inlineStr">
        <is>
          <t>新生代 古第三紀 漸新世 チャッティアン期〜新第三紀 中新世 アキタニアン期（Cenozoic Paleogene Oligocene Chattian - Neogene Miocene Aquitanian）に形成された安山岩・玄武岩質安山岩 溶岩・火砕岩（andesite &amp; basaltic andesite lava &amp; pyroclastic rocks）。産総研シームレス地質図V2凡例記号: Pg4_vis_al</t>
        </is>
      </c>
    </row>
    <row r="24">
      <c r="A24" s="11" t="inlineStr">
        <is>
          <t>m200k_NJ-54-16･22_u023</t>
        </is>
      </c>
      <c r="B24" s="11" t="inlineStr">
        <is>
          <t>Langhian Dacite (Fukushima Neogene-Paleogene)</t>
        </is>
      </c>
      <c r="C24" s="11" t="inlineStr">
        <is>
          <t>新生代 新第三紀 中新世 バーディガリアン期〜前期ランギアン期 デイサイト・流紋岩 貫入岩</t>
        </is>
      </c>
      <c r="D24" s="11" t="inlineStr">
        <is>
          <t>新生代 新第三紀 中新世 バーディガリアン期〜前期ランギアン期（Cenozoic Neogene Miocene Burdigalian - early Langhian）に形成されたデイサイト・流紋岩 貫入岩（dacite &amp; rhyolite intrusives rocks）。産総研シームレス地質図V2凡例記号: N1_vas_ai</t>
        </is>
      </c>
    </row>
    <row r="25">
      <c r="A25" s="11" t="inlineStr">
        <is>
          <t>m200k_NJ-54-16･22_u024</t>
        </is>
      </c>
      <c r="B25" s="11" t="inlineStr">
        <is>
          <t>Langhian Basalt (Fukushima Neogene-Paleogene)</t>
        </is>
      </c>
      <c r="C25" s="11" t="inlineStr">
        <is>
          <t>新生代 新第三紀 中新世 バーディガリアン期〜前期ランギアン期 玄武岩 溶岩・火砕岩</t>
        </is>
      </c>
      <c r="D25" s="11" t="inlineStr">
        <is>
          <t>新生代 新第三紀 中新世 バーディガリアン期〜前期ランギアン期（Cenozoic Neogene Miocene Burdigalian - early Langhian）に形成された玄武岩 溶岩・火砕岩（basalt lava &amp; pyroclastic rocks）。産総研シームレス地質図V2凡例記号: N1_vbs_al</t>
        </is>
      </c>
    </row>
    <row r="26">
      <c r="A26" s="11" t="inlineStr">
        <is>
          <t>m200k_NJ-54-16･22_u025</t>
        </is>
      </c>
      <c r="B26" s="11" t="inlineStr">
        <is>
          <t>Tortonian Dacite (Fukushima Neogene-Paleogene)</t>
        </is>
      </c>
      <c r="C26" s="11" t="inlineStr">
        <is>
          <t>新生代 新第三紀 中新世 後期ランギアン期〜トートニアン期 デイサイト・流紋岩 大規模火砕流</t>
        </is>
      </c>
      <c r="D26" s="11" t="inlineStr">
        <is>
          <t>新生代 新第三紀 中新世 後期ランギアン期〜トートニアン期（Cenozoic Neogene Miocene late Langhian - Tortonian）に形成されたデイサイト・流紋岩 大規模火砕流（dacite &amp; rhyolite pyroclastic rocks）。産総研シームレス地質図V2凡例記号: N2_vas_ap</t>
        </is>
      </c>
    </row>
    <row r="27">
      <c r="A27" s="11" t="inlineStr">
        <is>
          <t>m200k_NJ-54-16･22_u026</t>
        </is>
      </c>
      <c r="B27" s="11" t="inlineStr">
        <is>
          <t>Albian Andesite (Fukushima Neogene-Paleogene)</t>
        </is>
      </c>
      <c r="C27" s="11" t="inlineStr">
        <is>
          <t>中生代 前期白亜紀 アプチアン期〜アルビアン期 安山岩・玄武岩質安山岩 溶岩・火砕岩</t>
        </is>
      </c>
      <c r="D27" s="11" t="inlineStr">
        <is>
          <t>中生代 前期白亜紀 アプチアン期〜アルビアン期（Mesozoic Early Cretaceous Aptian - Albian）に形成された安山岩・玄武岩質安山岩 溶岩・火砕岩（andesite &amp; basaltic andesite lava &amp; pyroclastic rocks）。産総研シームレス地質図V2凡例記号: K12_vis_al</t>
        </is>
      </c>
    </row>
    <row r="28">
      <c r="A28" s="11" t="inlineStr">
        <is>
          <t>m200k_NJ-54-16･22_u027</t>
        </is>
      </c>
      <c r="B28" s="11" t="inlineStr">
        <is>
          <t>Tortonian Andesite (Fukushima Neogene-Paleogene)</t>
        </is>
      </c>
      <c r="C28" s="11" t="inlineStr">
        <is>
          <t>新生代 新第三紀 中新世 後期ランギアン期〜トートニアン期 安山岩・玄武岩質安山岩 溶岩・火砕岩</t>
        </is>
      </c>
      <c r="D28" s="11" t="inlineStr">
        <is>
          <t>新生代 新第三紀 中新世 後期ランギアン期〜トートニアン期（Cenozoic Neogene Miocene late Langhian - Tortonian）に形成された安山岩・玄武岩質安山岩 溶岩・火砕岩（andesite &amp; basaltic andesite lava &amp; pyroclastic rocks）。産総研シームレス地質図V2凡例記号: N2_vis_al</t>
        </is>
      </c>
    </row>
    <row r="29">
      <c r="A29" s="11" t="inlineStr">
        <is>
          <t>m200k_NJ-54-16･22_u028</t>
        </is>
      </c>
      <c r="B29" s="11" t="inlineStr">
        <is>
          <t>Albian Tonalite (Fukushima Mesozoic)</t>
        </is>
      </c>
      <c r="C29" s="11" t="inlineStr">
        <is>
          <t>中生代 前期白亜紀 アプチアン期〜アルビアン期 花崗閃緑岩・トーナル岩 塊状 島弧・大陸</t>
        </is>
      </c>
      <c r="D29" s="11" t="inlineStr">
        <is>
          <t>中生代 前期白亜紀 アプチアン期〜アルビアン期（Mesozoic Early Cretaceous Aptian - Albian）に形成された花崗閃緑岩・トーナル岩 塊状 島弧・大陸（mssive granodiolite &amp; tonalite island arc &amp; continental）。産総研シームレス地質図V2凡例記号: K12_pim_a</t>
        </is>
      </c>
    </row>
    <row r="30">
      <c r="A30" s="11" t="inlineStr">
        <is>
          <t>m200k_NJ-54-16･22_u029</t>
        </is>
      </c>
      <c r="B30" s="11" t="inlineStr">
        <is>
          <t>Anisian Sandstone (Fukushima Mesozoic)</t>
        </is>
      </c>
      <c r="C30" s="11" t="inlineStr">
        <is>
          <t>中生代 前期三畳紀〜後期三畳紀 アニシアン期 海成層 砂岩</t>
        </is>
      </c>
      <c r="D30" s="11" t="inlineStr">
        <is>
          <t>中生代 前期三畳紀〜後期三畳紀 アニシアン期（Mesozoic Early Triassic - Late Triassic Anisian）に形成された海成層 砂岩（marine sandstone）。産総研シームレス地質図V2凡例記号: Tr1-21_soss</t>
        </is>
      </c>
    </row>
    <row r="31">
      <c r="A31" s="11" t="inlineStr">
        <is>
          <t>m200k_NJ-54-16･22_u030</t>
        </is>
      </c>
      <c r="B31" s="11" t="inlineStr">
        <is>
          <t>Jurassic Mudstone (Fukushima Mesozoic)</t>
        </is>
      </c>
      <c r="C31" s="11" t="inlineStr">
        <is>
          <t>中生代 中期ジュラ紀 海成層 泥岩</t>
        </is>
      </c>
      <c r="D31" s="11" t="inlineStr">
        <is>
          <t>中生代 中期ジュラ紀（Mesozoic Jurassic Middle）に形成された海成層 泥岩（marine mudstone）。産総研シームレス地質図V2凡例記号: J2_som</t>
        </is>
      </c>
    </row>
    <row r="32">
      <c r="A32" s="11" t="inlineStr">
        <is>
          <t>m200k_NJ-54-16･22_u031</t>
        </is>
      </c>
      <c r="B32" s="11" t="inlineStr">
        <is>
          <t>Jurassic Sandstone (Fukushima Mesozoic)</t>
        </is>
      </c>
      <c r="C32" s="11" t="inlineStr">
        <is>
          <t>中生代 後期ジュラ紀 海成層 砂岩</t>
        </is>
      </c>
      <c r="D32" s="11" t="inlineStr">
        <is>
          <t>中生代 後期ジュラ紀（Mesozoic Late Jurassic）に形成された海成層 砂岩（marine sandstone）。産総研シームレス地質図V2凡例記号: J3_soss</t>
        </is>
      </c>
    </row>
    <row r="33">
      <c r="A33" s="11" t="inlineStr">
        <is>
          <t>m200k_NJ-54-16･22_u032</t>
        </is>
      </c>
      <c r="B33" s="11" t="inlineStr">
        <is>
          <t>Maastrichtian Tonalite (Fukushima Mesozoic)</t>
        </is>
      </c>
      <c r="C33" s="11" t="inlineStr">
        <is>
          <t>中生代 後期白亜紀 カンパニアン期〜マーストリヒチアン期 花崗閃緑岩・トーナル岩 塊状 島弧・大陸</t>
        </is>
      </c>
      <c r="D33" s="11" t="inlineStr">
        <is>
          <t>中生代 後期白亜紀 カンパニアン期〜マーストリヒチアン期（Mesozoic Late Cretaceous Campanian - Maastrichtian）に形成された花崗閃緑岩・トーナル岩 塊状 島弧・大陸（mssive granodiolite &amp; tonalite island arc &amp; continental）。産総研シームレス地質図V2凡例記号: K22_pim_a</t>
        </is>
      </c>
    </row>
    <row r="34">
      <c r="A34" s="11" t="inlineStr">
        <is>
          <t>m200k_NJ-54-16･22_u033</t>
        </is>
      </c>
      <c r="B34" s="11" t="inlineStr">
        <is>
          <t>Pliocene Conglomerate (Fukushima Neogene)</t>
        </is>
      </c>
      <c r="C34" s="11" t="inlineStr">
        <is>
          <t>新生代 新第三紀 中新世 メッシニアン期〜鮮新世 非海成層 礫岩</t>
        </is>
      </c>
      <c r="D34" s="11" t="inlineStr">
        <is>
          <t>新生代 新第三紀 中新世 メッシニアン期〜鮮新世（Cenozoic Neogene Miocene Messinian - Pliocene）に形成された非海成層 礫岩（non-marine conglomerate）。産総研シームレス地質図V2凡例記号: N3_snc</t>
        </is>
      </c>
    </row>
    <row r="35">
      <c r="A35" s="11" t="inlineStr">
        <is>
          <t>m200k_NJ-54-16･22_u034</t>
        </is>
      </c>
      <c r="B35" s="11" t="inlineStr">
        <is>
          <t>Tortonian Sandstone (Fukushima Neogene)</t>
        </is>
      </c>
      <c r="C35" s="11" t="inlineStr">
        <is>
          <t>新生代 新第三紀 中新世 後期ランギアン期〜トートニアン期 海成層 砂岩</t>
        </is>
      </c>
      <c r="D35" s="11" t="inlineStr">
        <is>
          <t>新生代 新第三紀 中新世 後期ランギアン期〜トートニアン期（Cenozoic Neogene Miocene late Langhian - Tortonian）に形成された海成層 砂岩（marine sandstone）。産総研シームレス地質図V2凡例記号: N2_soss</t>
        </is>
      </c>
    </row>
    <row r="36">
      <c r="A36" s="11" t="inlineStr">
        <is>
          <t>m200k_NJ-54-16･22_u035</t>
        </is>
      </c>
      <c r="B36" s="11" t="inlineStr">
        <is>
          <t>Tortonian Conglomerate (Fukushima Neogene)</t>
        </is>
      </c>
      <c r="C36" s="11" t="inlineStr">
        <is>
          <t>新生代 新第三紀 中新世 後期ランギアン期〜トートニアン期 海成層 礫岩</t>
        </is>
      </c>
      <c r="D36" s="11" t="inlineStr">
        <is>
          <t>新生代 新第三紀 中新世 後期ランギアン期〜トートニアン期（Cenozoic Neogene Miocene late Langhian - Tortonian）に形成された海成層 礫岩（marine conglomerate）。産総研シームレス地質図V2凡例記号: N2_soc</t>
        </is>
      </c>
    </row>
    <row r="37">
      <c r="A37" s="11" t="inlineStr">
        <is>
          <t>m200k_NJ-54-16･22_u036</t>
        </is>
      </c>
      <c r="B37" s="11" t="inlineStr">
        <is>
          <t>Langhian Sandstone (Fukushima Neogene)</t>
        </is>
      </c>
      <c r="C37" s="11" t="inlineStr">
        <is>
          <t>新生代 新第三紀 中新世 バーディガリアン期〜前期ランギアン期 非海成層 砂岩，砂岩泥岩互層ないし砂岩・泥岩</t>
        </is>
      </c>
      <c r="D37" s="11" t="inlineStr">
        <is>
          <t>新生代 新第三紀 中新世 バーディガリアン期〜前期ランギアン期（Cenozoic Neogene Miocene Burdigalian - early Langhian）に形成された非海成層 砂岩，砂岩泥岩互層ないし砂岩・泥岩（non-marine sandstone, or alternation of sandstone &amp; mudstone or sandstone &amp; mudstone）。産総研シームレス地質図V2凡例記号: N1_sns</t>
        </is>
      </c>
    </row>
    <row r="38">
      <c r="A38" s="11" t="inlineStr">
        <is>
          <t>m200k_NJ-54-16･22_u037</t>
        </is>
      </c>
      <c r="B38" s="11" t="inlineStr">
        <is>
          <t>Pliocene Sandstone (Fukushima Neogene)</t>
        </is>
      </c>
      <c r="C38" s="11" t="inlineStr">
        <is>
          <t>新生代 新第三紀 中新世 メッシニアン期〜鮮新世 汽水成層ないし海成・非海成混合層 砂岩，砂岩泥岩互層ないし砂岩・泥岩</t>
        </is>
      </c>
      <c r="D38" s="11" t="inlineStr">
        <is>
          <t>新生代 新第三紀 中新世 メッシニアン期〜鮮新世（Cenozoic Neogene Miocene Messinian - Pliocene）に形成された汽水成層ないし海成・非海成混合層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N3_sbs</t>
        </is>
      </c>
    </row>
    <row r="39">
      <c r="A39" s="11" t="inlineStr">
        <is>
          <t>m200k_NJ-54-16･22_u038</t>
        </is>
      </c>
      <c r="B39" s="11" t="inlineStr">
        <is>
          <t>Pliocene Sandstone (Fukushima Neogene)</t>
        </is>
      </c>
      <c r="C39" s="11" t="inlineStr">
        <is>
          <t>新生代 新第三紀 中新世 メッシニアン期〜鮮新世 非海成層 砂岩，砂岩泥岩互層ないし砂岩・泥岩</t>
        </is>
      </c>
      <c r="D39" s="11" t="inlineStr">
        <is>
          <t>新生代 新第三紀 中新世 メッシニアン期〜鮮新世（Cenozoic Neogene Miocene Messinian - Pliocene）に形成された非海成層 砂岩，砂岩泥岩互層ないし砂岩・泥岩（non-marine sandstone, or alternation of sandstone &amp; mudstone or sandstone &amp; mudstone）。産総研シームレス地質図V2凡例記号: N3_sns</t>
        </is>
      </c>
    </row>
    <row r="40">
      <c r="A40" s="11" t="inlineStr">
        <is>
          <t>m200k_NJ-54-16･22_u039</t>
        </is>
      </c>
      <c r="B40" s="11" t="inlineStr">
        <is>
          <t>Langhian Mudstone (Fukushima Neogene)</t>
        </is>
      </c>
      <c r="C40" s="11" t="inlineStr">
        <is>
          <t>新生代 新第三紀 中新世 バーディガリアン期〜前期ランギアン期 海成層 泥岩</t>
        </is>
      </c>
      <c r="D40" s="11" t="inlineStr">
        <is>
          <t>新生代 新第三紀 中新世 バーディガリアン期〜前期ランギアン期（Cenozoic Neogene Miocene Burdigalian - early Langhian）に形成された海成層 泥岩（marine mudstone）。産総研シームレス地質図V2凡例記号: N1_som</t>
        </is>
      </c>
    </row>
    <row r="41">
      <c r="A41" s="11" t="inlineStr">
        <is>
          <t>m200k_NJ-54-16･22_u040</t>
        </is>
      </c>
      <c r="B41" s="11" t="inlineStr">
        <is>
          <t>Langhian Sandstone (Fukushima Neogene)</t>
        </is>
      </c>
      <c r="C41" s="11" t="inlineStr">
        <is>
          <t>新生代 新第三紀 中新世 バーディガリアン期〜前期ランギアン期 海成層 砂岩</t>
        </is>
      </c>
      <c r="D41" s="11" t="inlineStr">
        <is>
          <t>新生代 新第三紀 中新世 バーディガリアン期〜前期ランギアン期（Cenozoic Neogene Miocene Burdigalian - early Langhian）に形成された海成層 砂岩（marine sandstone）。産総研シームレス地質図V2凡例記号: N1_soss</t>
        </is>
      </c>
    </row>
    <row r="42">
      <c r="A42" s="11" t="inlineStr">
        <is>
          <t>m200k_NJ-54-16･22_u041</t>
        </is>
      </c>
      <c r="B42" s="11" t="inlineStr">
        <is>
          <t>Tortonian Mudstone (Fukushima Neogene)</t>
        </is>
      </c>
      <c r="C42" s="11" t="inlineStr">
        <is>
          <t>新生代 新第三紀 中新世 後期ランギアン期〜トートニアン期 海成層 泥岩</t>
        </is>
      </c>
      <c r="D42" s="11" t="inlineStr">
        <is>
          <t>新生代 新第三紀 中新世 後期ランギアン期〜トートニアン期（Cenozoic Neogene Miocene late Langhian - Tortonian）に形成された海成層 泥岩（marine mudstone）。産総研シームレス地質図V2凡例記号: N2_som</t>
        </is>
      </c>
    </row>
    <row r="43">
      <c r="A43" s="11" t="inlineStr">
        <is>
          <t>m200k_NJ-54-16･22_u042</t>
        </is>
      </c>
      <c r="B43" s="11" t="inlineStr">
        <is>
          <t>Langhian Sandstone (Fukushima Neogene)</t>
        </is>
      </c>
      <c r="C43" s="11" t="inlineStr">
        <is>
          <t>新生代 新第三紀 中新世 バーディガリアン期〜前期ランギアン期 汽水成層ないし海成・非海成混合層 砂岩，砂岩泥岩互層ないし砂岩・泥岩</t>
        </is>
      </c>
      <c r="D43" s="11" t="inlineStr">
        <is>
          <t>新生代 新第三紀 中新世 バーディガリアン期〜前期ランギアン期（Cenozoic Neogene Miocene Burdigalian - early Langhian）に形成された汽水成層ないし海成・非海成混合層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N1_sbs</t>
        </is>
      </c>
    </row>
    <row r="44">
      <c r="A44" s="11" t="inlineStr">
        <is>
          <t>m200k_NJ-54-16･22_u043</t>
        </is>
      </c>
      <c r="B44" s="11" t="inlineStr">
        <is>
          <t>Tortonian Conglomerate (Fukushima Neogene)</t>
        </is>
      </c>
      <c r="C44" s="11" t="inlineStr">
        <is>
          <t>新生代 新第三紀 中新世 後期ランギアン期〜トートニアン期 非海成層 礫岩</t>
        </is>
      </c>
      <c r="D44" s="11" t="inlineStr">
        <is>
          <t>新生代 新第三紀 中新世 後期ランギアン期〜トートニアン期（Cenozoic Neogene Miocene late Langhian - Tortonian）に形成された非海成層 礫岩（non-marine conglomerate）。産総研シームレス地質図V2凡例記号: N2_snc</t>
        </is>
      </c>
    </row>
    <row r="45">
      <c r="A45" s="11" t="inlineStr">
        <is>
          <t>m200k_NJ-54-16･22_u044</t>
        </is>
      </c>
      <c r="B45" s="11" t="inlineStr">
        <is>
          <t>Pliocene Mudstone (Fukushima Neogene)</t>
        </is>
      </c>
      <c r="C45" s="11" t="inlineStr">
        <is>
          <t>新生代 新第三紀 中新世 メッシニアン期〜鮮新世 海成層 泥岩</t>
        </is>
      </c>
      <c r="D45" s="11" t="inlineStr">
        <is>
          <t>新生代 新第三紀 中新世 メッシニアン期〜鮮新世（Cenozoic Neogene Miocene Messinian - Pliocene）に形成された海成層 泥岩（marine mudstone）。産総研シームレス地質図V2凡例記号: N3_som</t>
        </is>
      </c>
    </row>
    <row r="46">
      <c r="A46" s="11" t="inlineStr">
        <is>
          <t>m200k_NJ-54-16･22_u045</t>
        </is>
      </c>
      <c r="B46" s="11" t="inlineStr">
        <is>
          <t>Langhian Conglomerate (Fukushima Neogene)</t>
        </is>
      </c>
      <c r="C46" s="11" t="inlineStr">
        <is>
          <t>新生代 新第三紀 中新世 バーディガリアン期〜前期ランギアン期 汽水成層ないし海成・非海成混合層 礫岩</t>
        </is>
      </c>
      <c r="D46" s="11" t="inlineStr">
        <is>
          <t>新生代 新第三紀 中新世 バーディガリアン期〜前期ランギアン期（Cenozoic Neogene Miocene Burdigalian - early Langhian）に形成された汽水成層ないし海成・非海成混合層 礫岩（brackish, or marine &amp; non-marine  mixture conglomerate）。産総研シームレス地質図V2凡例記号: N1_sbc</t>
        </is>
      </c>
    </row>
    <row r="47">
      <c r="A47" s="11" t="inlineStr">
        <is>
          <t>m200k_NJ-54-16･22_u046</t>
        </is>
      </c>
      <c r="B47" s="11" t="inlineStr">
        <is>
          <t>Cisuralian Schist (Fukushima Metamorphic)</t>
        </is>
      </c>
      <c r="C47" s="11" t="inlineStr">
        <is>
          <t>古生代 後期デボン紀〜ペルム紀 シスウラリアン世 泥質片岩 高P/T型広域変成岩　緑泥石帯</t>
        </is>
      </c>
      <c r="D47" s="11" t="inlineStr">
        <is>
          <t>古生代 後期デボン紀〜ペルム紀 シスウラリアン世（Paleozoic Late Devonian - Permian Cisuralian）に形成された泥質片岩 高P/T型広域変成岩　緑泥石帯（pelitic schist chlorite zone of high P/T regional metamorphic rocks）。産総研シームレス地質図V2凡例記号: D3-P1_mscpe_hc</t>
        </is>
      </c>
    </row>
    <row r="48">
      <c r="A48" s="11" t="inlineStr">
        <is>
          <t>m200k_NJ-54-16･22_u047</t>
        </is>
      </c>
      <c r="B48" s="11" t="inlineStr">
        <is>
          <t>Albian Schist (Fukushima Metamorphic)</t>
        </is>
      </c>
      <c r="C48" s="11" t="inlineStr">
        <is>
          <t>中生代 前期白亜紀 アプチアン期〜アルビアン期 泥質片岩 低P/T型広域変成岩　黒雲母帯</t>
        </is>
      </c>
      <c r="D48" s="11" t="inlineStr">
        <is>
          <t>中生代 前期白亜紀 アプチアン期〜アルビアン期（Mesozoic Early Cretaceous Aptian - Albian）に形成された泥質片岩 低P/T型広域変成岩　黒雲母帯（pelitic schist biotite zone of low P/T regional metamorphic rocks）。産総研シームレス地質図V2凡例記号: K12_mscpe_lb</t>
        </is>
      </c>
    </row>
    <row r="49">
      <c r="A49" s="11" t="inlineStr">
        <is>
          <t>m200k_NJ-54-16･22_u048</t>
        </is>
      </c>
      <c r="B49" s="11" t="inlineStr">
        <is>
          <t>Albian Serpentinite (Fukushima Metamorphic)</t>
        </is>
      </c>
      <c r="C49" s="11" t="inlineStr">
        <is>
          <t>中生代 前期白亜紀 アプチアン期〜アルビアン期 蛇紋岩  低P/T型広域変成岩　黒雲母帯</t>
        </is>
      </c>
      <c r="D49" s="11" t="inlineStr">
        <is>
          <t>中生代 前期白亜紀 アプチアン期〜アルビアン期（Mesozoic Early Cretaceous Aptian - Albian）に形成された蛇紋岩  低P/T型広域変成岩　黒雲母帯（serpentinite biotite zone of low P/T regional metamorphic rocks）。産総研シームレス地質図V2凡例記号: K12_msp_lb</t>
        </is>
      </c>
    </row>
    <row r="50">
      <c r="A50" s="11" t="inlineStr">
        <is>
          <t>m200k_NJ-54-16･22_u049</t>
        </is>
      </c>
      <c r="B50" s="11" t="inlineStr">
        <is>
          <t>Cisuralian Mafic (Fukushima Metamorphic)</t>
        </is>
      </c>
      <c r="C50" s="11" t="inlineStr">
        <is>
          <t>古生代 後期デボン紀〜ペルム紀 シスウラリアン世 苦鉄質片岩 高P/T型広域変成岩　ざくろ石帯</t>
        </is>
      </c>
      <c r="D50" s="11" t="inlineStr">
        <is>
          <t>古生代 後期デボン紀〜ペルム紀 シスウラリアン世（Paleozoic Late Devonian - Permian Cisuralian）に形成された苦鉄質片岩 高P/T型広域変成岩　ざくろ石帯（mafic schist garnet zone of high P/T regional metamorphic rocks）。産総研シームレス地質図V2凡例記号: D3-P1_mscma_hg</t>
        </is>
      </c>
    </row>
    <row r="51">
      <c r="A51" s="11" t="inlineStr">
        <is>
          <t>m200k_NJ-54-16･22_u050</t>
        </is>
      </c>
      <c r="B51" s="11" t="inlineStr">
        <is>
          <t>Cisuralian Mafic (Fukushima Metamorphic)</t>
        </is>
      </c>
      <c r="C51" s="11" t="inlineStr">
        <is>
          <t>古生代 後期デボン紀〜ペルム紀 シスウラリアン世 苦鉄質片岩 高P/T型広域変成岩　緑泥石帯</t>
        </is>
      </c>
      <c r="D51" s="11" t="inlineStr">
        <is>
          <t>古生代 後期デボン紀〜ペルム紀 シスウラリアン世（Paleozoic Late Devonian - Permian Cisuralian）に形成された苦鉄質片岩 高P/T型広域変成岩　緑泥石帯（mafic schist chlorite zone of high P/T regional metamorphic rocks）。産総研シームレス地質図V2凡例記号: D3-P1_mscma_hc</t>
        </is>
      </c>
    </row>
    <row r="52">
      <c r="A52" s="11" t="inlineStr">
        <is>
          <t>m200k_NJ-54-16･22_u051</t>
        </is>
      </c>
      <c r="B52" s="11" t="inlineStr">
        <is>
          <t>Cisuralian Schist (Fukushima Metamorphic)</t>
        </is>
      </c>
      <c r="C52" s="11" t="inlineStr">
        <is>
          <t>古生代 後期デボン紀〜ペルム紀 シスウラリアン世 泥質片岩 高P/T型広域変成岩　ざくろ石帯</t>
        </is>
      </c>
      <c r="D52" s="11" t="inlineStr">
        <is>
          <t>古生代 後期デボン紀〜ペルム紀 シスウラリアン世（Paleozoic Late Devonian - Permian Cisuralian）に形成された泥質片岩 高P/T型広域変成岩　ざくろ石帯（pelitic schist garnet zone of high P/T regional metamorphic rocks）。産総研シームレス地質図V2凡例記号: D3-P1_mscpe_hg</t>
        </is>
      </c>
    </row>
    <row r="53">
      <c r="A53" s="11" t="inlineStr">
        <is>
          <t>m200k_NJ-54-16･22_u052</t>
        </is>
      </c>
      <c r="B53" s="11" t="inlineStr">
        <is>
          <t>Cisuralian Serpentinite (Fukushima Metamorphic)</t>
        </is>
      </c>
      <c r="C53" s="11" t="inlineStr">
        <is>
          <t>古生代 後期デボン紀〜ペルム紀 シスウラリアン世 蛇紋岩  高P/T型広域変成岩　緑泥石帯</t>
        </is>
      </c>
      <c r="D53" s="11" t="inlineStr">
        <is>
          <t>古生代 後期デボン紀〜ペルム紀 シスウラリアン世（Paleozoic Late Devonian - Permian Cisuralian）に形成された蛇紋岩  高P/T型広域変成岩　緑泥石帯（serpentinite chlorite zone of high P/T regional metamorphic rocks）。産総研シームレス地質図V2凡例記号: D3-P1_msp_hc</t>
        </is>
      </c>
    </row>
    <row r="54">
      <c r="A54" s="11" t="inlineStr">
        <is>
          <t>m200k_NJ-54-16･22_u053</t>
        </is>
      </c>
      <c r="B54" s="11" t="inlineStr">
        <is>
          <t>Albian Mafic (Fukushima Metamorphic)</t>
        </is>
      </c>
      <c r="C54" s="11" t="inlineStr">
        <is>
          <t>中生代 前期白亜紀 アプチアン期〜アルビアン期 苦鉄質片岩 低P/T型広域変成岩　黒雲母帯</t>
        </is>
      </c>
      <c r="D54" s="11" t="inlineStr">
        <is>
          <t>中生代 前期白亜紀 アプチアン期〜アルビアン期（Mesozoic Early Cretaceous Aptian - Albian）に形成された苦鉄質片岩 低P/T型広域変成岩　黒雲母帯（mafic schist biotite zone of low P/T regional metamorphic rocks）。産総研シームレス地質図V2凡例記号: K12_mscma_lb</t>
        </is>
      </c>
    </row>
    <row r="55">
      <c r="A55" s="11" t="inlineStr">
        <is>
          <t>m200k_NJ-54-16･22_u054</t>
        </is>
      </c>
      <c r="B55" s="11" t="inlineStr">
        <is>
          <t>Silurian Granite (Fukushima Metamorphic)</t>
        </is>
      </c>
      <c r="C55" s="11" t="inlineStr">
        <is>
          <t>古生代 オルドビス紀〜シルル紀 花崗岩 片麻状 島弧・大陸</t>
        </is>
      </c>
      <c r="D55" s="11" t="inlineStr">
        <is>
          <t>古生代 オルドビス紀〜シルル紀（Paleozoic Ordovician - Silurian）に形成された花崗岩 片麻状 島弧・大陸（gneissose granite island arc &amp; continental）。産総研シームレス地質図V2凡例記号: O-S_pan_a</t>
        </is>
      </c>
    </row>
    <row r="56">
      <c r="A56" s="11" t="inlineStr">
        <is>
          <t>m200k_NJ-54-16･22_u055</t>
        </is>
      </c>
      <c r="B56" s="11" t="inlineStr">
        <is>
          <t>Albian Granite (Fukushima Plutonic)</t>
        </is>
      </c>
      <c r="C56" s="11" t="inlineStr">
        <is>
          <t>中生代 前期白亜紀 アプチアン期〜アルビアン期 花崗岩 塊状 島弧・大陸</t>
        </is>
      </c>
      <c r="D56" s="11" t="inlineStr">
        <is>
          <t>中生代 前期白亜紀 アプチアン期〜アルビアン期（Mesozoic Early Cretaceous Aptian - Albian）に形成された花崗岩 塊状 島弧・大陸（massive granite island arc &amp; continental）。産総研シームレス地質図V2凡例記号: K12_pam_a</t>
        </is>
      </c>
    </row>
    <row r="57">
      <c r="A57" s="11" t="inlineStr">
        <is>
          <t>m200k_NJ-54-16･22_u056</t>
        </is>
      </c>
      <c r="B57" s="11" t="inlineStr">
        <is>
          <t>Albian Gabbro (Fukushima Plutonic)</t>
        </is>
      </c>
      <c r="C57" s="11" t="inlineStr">
        <is>
          <t>中生代 前期白亜紀 アプチアン期〜アルビアン期 斑れい岩 島弧・大陸</t>
        </is>
      </c>
      <c r="D57" s="11" t="inlineStr">
        <is>
          <t>中生代 前期白亜紀 アプチアン期〜アルビアン期（Mesozoic Early Cretaceous Aptian - Albian）に形成された斑れい岩 島弧・大陸（gabbro island arc &amp; continental）。産総研シームレス地質図V2凡例記号: K12_pbg_a</t>
        </is>
      </c>
    </row>
    <row r="58">
      <c r="A58" s="11" t="inlineStr">
        <is>
          <t>m200k_NJ-54-16･22_u057</t>
        </is>
      </c>
      <c r="B58" s="11" t="inlineStr">
        <is>
          <t>Albian Diorite (Fukushima Plutonic)</t>
        </is>
      </c>
      <c r="C58" s="11" t="inlineStr">
        <is>
          <t>中生代 前期白亜紀 アプチアン期〜アルビアン期 閃緑岩・石英閃緑岩 島弧・大陸</t>
        </is>
      </c>
      <c r="D58" s="11" t="inlineStr">
        <is>
          <t>中生代 前期白亜紀 アプチアン期〜アルビアン期（Mesozoic Early Cretaceous Aptian - Albian）に形成された閃緑岩・石英閃緑岩 島弧・大陸（diorite &amp; quartz diorite island arc &amp; continental）。産総研シームレス地質図V2凡例記号: K12_pbd_a</t>
        </is>
      </c>
    </row>
    <row r="59">
      <c r="A59" s="11" t="inlineStr">
        <is>
          <t>m200k_NJ-54-16･22_u058</t>
        </is>
      </c>
      <c r="B59" s="11" t="inlineStr">
        <is>
          <t>Pleistocene Andesite (Fukushima Quaternary)</t>
        </is>
      </c>
      <c r="C59" s="11" t="inlineStr">
        <is>
          <t>新生代 第四紀 チバニアン期 安山岩・玄武岩質安山岩 溶岩・火砕岩</t>
        </is>
      </c>
      <c r="D59" s="11" t="inlineStr">
        <is>
          <t>新生代 第四紀 チバニアン期（Cenozoic Quaternary Middle Pleistocene）に形成された安山岩・玄武岩質安山岩 溶岩・火砕岩（andesite &amp; basaltic andesite lava &amp; pyroclastic rocks）。産総研シームレス地質図V2凡例記号: Q2_vis_al</t>
        </is>
      </c>
    </row>
    <row r="60">
      <c r="A60" s="11" t="inlineStr">
        <is>
          <t>m200k_NJ-54-16･22_u059</t>
        </is>
      </c>
      <c r="B60" s="11" t="inlineStr">
        <is>
          <t>Calabrian Andesite (Fukushima Quaternary)</t>
        </is>
      </c>
      <c r="C60" s="11" t="inlineStr">
        <is>
          <t>新生代 第四紀 更新世 カラブリアン期 安山岩・玄武岩質安山岩 溶岩・火砕岩</t>
        </is>
      </c>
      <c r="D60" s="11" t="inlineStr">
        <is>
          <t>新生代 第四紀 更新世 カラブリアン期（Cenozoic Quaternary Pleistocene Calabrian）に形成された安山岩・玄武岩質安山岩 溶岩・火砕岩（andesite &amp; basaltic andesite lava &amp; pyroclastic rocks）。産総研シームレス地質図V2凡例記号: Q12_vis_al</t>
        </is>
      </c>
    </row>
    <row r="61">
      <c r="A61" s="11" t="inlineStr">
        <is>
          <t>m200k_NJ-54-16･22_u060</t>
        </is>
      </c>
      <c r="B61" s="11" t="inlineStr">
        <is>
          <t>Holocene Andesite (Fukushima Quaternary)</t>
        </is>
      </c>
      <c r="C61" s="11" t="inlineStr">
        <is>
          <t>新生代 第四紀 完新世 安山岩・玄武岩質安山岩 溶岩・火砕岩</t>
        </is>
      </c>
      <c r="D61" s="11" t="inlineStr">
        <is>
          <t>新生代 第四紀 完新世（Cenozoic Quaternary Holocene）に形成された安山岩・玄武岩質安山岩 溶岩・火砕岩（andesite &amp; basaltic andesite lava &amp; pyroclastic rocks）。産総研シームレス地質図V2凡例記号: H_vis_al</t>
        </is>
      </c>
    </row>
    <row r="62">
      <c r="A62" s="11" t="inlineStr">
        <is>
          <t>m200k_NJ-54-16･22_u061</t>
        </is>
      </c>
      <c r="B62" s="11" t="inlineStr">
        <is>
          <t>Gelasian Andesite (Fukushima Quaternary)</t>
        </is>
      </c>
      <c r="C62" s="11" t="inlineStr">
        <is>
          <t>新生代 第四紀 更新世 ジェラシアン期 安山岩・玄武岩質安山岩 溶岩・火砕岩</t>
        </is>
      </c>
      <c r="D62" s="11" t="inlineStr">
        <is>
          <t>新生代 第四紀 更新世 ジェラシアン期（Cenozoic Quaternary Pleistocene Gelasian）に形成された安山岩・玄武岩質安山岩 溶岩・火砕岩（andesite &amp; basaltic andesite lava &amp; pyroclastic rocks）。産総研シームレス地質図V2凡例記号: Q11_vis_al</t>
        </is>
      </c>
    </row>
    <row r="63">
      <c r="A63" s="11" t="inlineStr">
        <is>
          <t>m200k_NJ-54-16･22_u062</t>
        </is>
      </c>
      <c r="B63" s="11" t="inlineStr">
        <is>
          <t>Calabrian Dacite (Fukushima Quaternary)</t>
        </is>
      </c>
      <c r="C63" s="11" t="inlineStr">
        <is>
          <t>新生代 第四紀 更新世 カラブリアン期 デイサイト・流紋岩 大規模火砕流</t>
        </is>
      </c>
      <c r="D63" s="11" t="inlineStr">
        <is>
          <t>新生代 第四紀 更新世 カラブリアン期（Cenozoic Quaternary Pleistocene Calabrian）に形成されたデイサイト・流紋岩 大規模火砕流（dacite &amp; rhyolite pyroclastic rocks）。産総研シームレス地質図V2凡例記号: Q12_vas_ap</t>
        </is>
      </c>
    </row>
    <row r="64">
      <c r="A64" s="11" t="inlineStr">
        <is>
          <t>m200k_NJ-54-16･22_u063</t>
        </is>
      </c>
      <c r="B64" s="11" t="inlineStr">
        <is>
          <t>Pleistocene Dacite (Fukushima Quaternary)</t>
        </is>
      </c>
      <c r="C64" s="11" t="inlineStr">
        <is>
          <t>新生代 第四紀 後期更新世前期 デイサイト・流紋岩 大規模火砕流</t>
        </is>
      </c>
      <c r="D64" s="11" t="inlineStr">
        <is>
          <t>新生代 第四紀 後期更新世前期（Cenozoic Quaternary early Late Pleistocene）に形成されたデイサイト・流紋岩 大規模火砕流（dacite &amp; rhyolite pyroclastic rocks）。産総研シームレス地質図V2凡例記号: Q31_vas_ap</t>
        </is>
      </c>
    </row>
    <row r="65">
      <c r="A65" s="11" t="inlineStr">
        <is>
          <t>m200k_NJ-54-16･22_u064</t>
        </is>
      </c>
      <c r="B65" s="11" t="inlineStr">
        <is>
          <t>Pleistocene Andesite (Fukushima Quaternary)</t>
        </is>
      </c>
      <c r="C65" s="11" t="inlineStr">
        <is>
          <t>新生代 第四紀 後期更新世 安山岩・玄武岩質安山岩 溶岩・火砕岩</t>
        </is>
      </c>
      <c r="D65" s="11" t="inlineStr">
        <is>
          <t>新生代 第四紀 後期更新世（Cenozoic Quaternary Late Pleistocene）に形成された安山岩・玄武岩質安山岩 溶岩・火砕岩（andesite &amp; basaltic andesite lava &amp; pyroclastic rocks）。産総研シームレス地質図V2凡例記号: Q3_vis_al</t>
        </is>
      </c>
    </row>
    <row r="66">
      <c r="A66" s="11" t="inlineStr">
        <is>
          <t>m200k_NJ-54-16･22_u065</t>
        </is>
      </c>
      <c r="B66" s="11" t="inlineStr">
        <is>
          <t>Pleistocene Basalt (Fukushima Quaternary)</t>
        </is>
      </c>
      <c r="C66" s="11" t="inlineStr">
        <is>
          <t>新生代 第四紀 チバニアン期 玄武岩 溶岩・火砕岩</t>
        </is>
      </c>
      <c r="D66" s="11" t="inlineStr">
        <is>
          <t>新生代 第四紀 チバニアン期（Cenozoic Quaternary Middle Pleistocene）に形成された玄武岩 溶岩・火砕岩（basalt lava &amp; pyroclastic rocks）。産総研シームレス地質図V2凡例記号: Q2_vbs_al</t>
        </is>
      </c>
    </row>
    <row r="67">
      <c r="A67" s="11" t="inlineStr">
        <is>
          <t>m200k_NJ-54-16･22_u066</t>
        </is>
      </c>
      <c r="B67" s="11" t="inlineStr">
        <is>
          <t>Gelasian Dacite (Fukushima Quaternary)</t>
        </is>
      </c>
      <c r="C67" s="11" t="inlineStr">
        <is>
          <t>新生代 第四紀 更新世 ジェラシアン期 デイサイト・流紋岩 溶岩・火砕岩</t>
        </is>
      </c>
      <c r="D67" s="11" t="inlineStr">
        <is>
          <t>新生代 第四紀 更新世 ジェラシアン期（Cenozoic Quaternary Pleistocene Gelasian）に形成されたデイサイト・流紋岩 溶岩・火砕岩（dacite &amp; rhyolite lava &amp; pyroclastic rocks）。産総研シームレス地質図V2凡例記号: Q11_vas_al</t>
        </is>
      </c>
    </row>
    <row r="68">
      <c r="A68" s="11" t="inlineStr">
        <is>
          <t>m200k_NJ-54-16･22_u067</t>
        </is>
      </c>
      <c r="B68" s="11" t="inlineStr">
        <is>
          <t>Carboniferous Limestone (Fukushima Paleozoic)</t>
        </is>
      </c>
      <c r="C68" s="11" t="inlineStr">
        <is>
          <t>古生代 石炭紀 海成層 石灰岩</t>
        </is>
      </c>
      <c r="D68" s="11" t="inlineStr">
        <is>
          <t>古生代 石炭紀（Paleozoic Carboniferous）に形成された海成層 石灰岩（marine limestone）。産総研シームレス地質図V2凡例記号: C_sol</t>
        </is>
      </c>
    </row>
    <row r="69">
      <c r="A69" s="11" t="inlineStr">
        <is>
          <t>m200k_NJ-54-16･22_u068</t>
        </is>
      </c>
      <c r="B69" s="11" t="inlineStr">
        <is>
          <t>Devonian Mudstone (Fukushima Paleozoic)</t>
        </is>
      </c>
      <c r="C69" s="11" t="inlineStr">
        <is>
          <t>古生代 中期デボン紀〜後期デボン紀 海成層 泥岩</t>
        </is>
      </c>
      <c r="D69" s="11" t="inlineStr">
        <is>
          <t>古生代 中期デボン紀〜後期デボン紀（Paleozoic Middle Devonian - Late Devonian）に形成された海成層 泥岩（marine mudstone）。産総研シームレス地質図V2凡例記号: D2-3_som</t>
        </is>
      </c>
    </row>
    <row r="70">
      <c r="A70" s="11" t="inlineStr">
        <is>
          <t>m200k_NJ-54-16･22_u069</t>
        </is>
      </c>
      <c r="B70" s="11" t="inlineStr">
        <is>
          <t>Cisuralian Mudstone (Fukushima Paleozoic)</t>
        </is>
      </c>
      <c r="C70" s="11" t="inlineStr">
        <is>
          <t>古生代 ペルム紀 シスウラリアン世 海成層 泥岩</t>
        </is>
      </c>
      <c r="D70" s="11" t="inlineStr">
        <is>
          <t>古生代 ペルム紀 シスウラリアン世（Paleozoic Permian Cisuralian）に形成された海成層 泥岩（marine mudstone）。産総研シームレス地質図V2凡例記号: P1_som</t>
        </is>
      </c>
    </row>
    <row r="71">
      <c r="A71" s="11" t="inlineStr">
        <is>
          <t>m200k_NJ-54-16･22_u070</t>
        </is>
      </c>
      <c r="B71" s="11" t="inlineStr">
        <is>
          <t>Guadalupian Sandstone (Fukushima Paleozoic)</t>
        </is>
      </c>
      <c r="C71" s="11" t="inlineStr">
        <is>
          <t>古生代 ペルム紀 グアダルピアン世 海成層 砂岩</t>
        </is>
      </c>
      <c r="D71" s="11" t="inlineStr">
        <is>
          <t>古生代 ペルム紀 グアダルピアン世（Paleozoic Permian Guadalupian）に形成された海成層 砂岩（marine sandstone）。産総研シームレス地質図V2凡例記号: P2_soss</t>
        </is>
      </c>
    </row>
    <row r="72">
      <c r="A72" s="11" t="inlineStr">
        <is>
          <t>m200k_NJ-54-16･22_u071</t>
        </is>
      </c>
      <c r="B72" s="11" t="inlineStr">
        <is>
          <t>Lopingian Mudstone (Fukushima Paleozoic)</t>
        </is>
      </c>
      <c r="C72" s="11" t="inlineStr">
        <is>
          <t>古生代 ペルム紀 ローピンジアン世 海成層 泥岩</t>
        </is>
      </c>
      <c r="D72" s="11" t="inlineStr">
        <is>
          <t>古生代 ペルム紀 ローピンジアン世（Paleozoic Permian Lopingian）に形成された海成層 泥岩（marine mudstone）。産総研シームレス地質図V2凡例記号: P3_som</t>
        </is>
      </c>
    </row>
    <row r="73">
      <c r="A73" s="11" t="inlineStr">
        <is>
          <t>m200k_NJ-54-16･22_u072</t>
        </is>
      </c>
      <c r="B73" s="11" t="inlineStr">
        <is>
          <t>Carboniferous Sandstone (Fukushima Paleozoic)</t>
        </is>
      </c>
      <c r="C73" s="11" t="inlineStr">
        <is>
          <t>古生代 石炭紀 海成層 砂岩泥岩互層</t>
        </is>
      </c>
      <c r="D73" s="11" t="inlineStr">
        <is>
          <t>古生代 石炭紀（Paleozoic Carboniferous）に形成された海成層 砂岩泥岩互層（marine alternation of sandstone &amp; mudstone）。産総研シームレス地質図V2凡例記号: C_sosma</t>
        </is>
      </c>
    </row>
    <row r="74">
      <c r="A74" s="11" t="inlineStr">
        <is>
          <t>m200k_NJ-54-16･22_u073</t>
        </is>
      </c>
      <c r="B74" s="11" t="inlineStr">
        <is>
          <t>Devonian Limestone (Fukushima Paleozoic)</t>
        </is>
      </c>
      <c r="C74" s="11" t="inlineStr">
        <is>
          <t>古生代 後期オルドビス紀〜前期デボン紀 海成層 石灰岩</t>
        </is>
      </c>
      <c r="D74" s="11" t="inlineStr">
        <is>
          <t>古生代 後期オルドビス紀〜前期デボン紀（Paleozoic Ordovician Late - Early Devonian）に形成された海成層 石灰岩（marine limestone）。産総研シームレス地質図V2凡例記号: O3-D1_sol</t>
        </is>
      </c>
    </row>
    <row r="75">
      <c r="A75" s="11" t="inlineStr">
        <is>
          <t>m200k_NJ-54-16･22_u074</t>
        </is>
      </c>
      <c r="B75" s="11" t="inlineStr">
        <is>
          <t>Devonian Mudstone (Fukushima Paleozoic)</t>
        </is>
      </c>
      <c r="C75" s="11" t="inlineStr">
        <is>
          <t>古生代 後期オルドビス紀〜前期デボン紀 海成層 泥岩</t>
        </is>
      </c>
      <c r="D75" s="11" t="inlineStr">
        <is>
          <t>古生代 後期オルドビス紀〜前期デボン紀（Paleozoic Ordovician Late - Early Devonian）に形成された海成層 泥岩（marine mudstone）。産総研シームレス地質図V2凡例記号: O3-D1_som</t>
        </is>
      </c>
    </row>
    <row r="76">
      <c r="A76" s="11" t="inlineStr">
        <is>
          <t>m200k_NJ-54-16･22_u075</t>
        </is>
      </c>
      <c r="B76" s="11" t="inlineStr">
        <is>
          <t>Cisuralian Conglomerate (Fukushima Paleozoic)</t>
        </is>
      </c>
      <c r="C76" s="11" t="inlineStr">
        <is>
          <t>古生代 ペルム紀 シスウラリアン世 海成層 礫岩</t>
        </is>
      </c>
      <c r="D76" s="11" t="inlineStr">
        <is>
          <t>古生代 ペルム紀 シスウラリアン世（Paleozoic Permian Cisuralian）に形成された海成層 礫岩（marine conglomerate）。産総研シームレス地質図V2凡例記号: P1_soc</t>
        </is>
      </c>
    </row>
    <row r="77">
      <c r="A77" s="11" t="inlineStr">
        <is>
          <t>m200k_NJ-54-16･22_u076</t>
        </is>
      </c>
      <c r="B77" s="11" t="inlineStr">
        <is>
          <t>Silurian Sedimentary (Fukushima Paleozoic)</t>
        </is>
      </c>
      <c r="C77" s="11" t="inlineStr">
        <is>
          <t>古生代 オルドビス紀〜シルル紀 超苦鉄質岩類 島弧・大陸</t>
        </is>
      </c>
      <c r="D77" s="11" t="inlineStr">
        <is>
          <t>古生代 オルドビス紀〜シルル紀（Paleozoic Ordovician - Silurian）に形成された超苦鉄質岩類 島弧・大陸（ultramafic rocks island arc &amp; continental）。産総研シームレス地質図V2凡例記号: O-S_pu_a</t>
        </is>
      </c>
    </row>
    <row r="78">
      <c r="A78" s="11" t="inlineStr">
        <is>
          <t>m200k_NJ-54-16･22_u077</t>
        </is>
      </c>
      <c r="B78" s="11" t="inlineStr">
        <is>
          <t>Rupelian Sandstone (Fukushima Sedimentary)</t>
        </is>
      </c>
      <c r="C78" s="11" t="inlineStr">
        <is>
          <t>新生代 古第三紀 漸新世 ルペリアン期 汽水成層ないし海成・非海成混合層 砂岩，砂岩泥岩互層ないし砂岩・泥岩</t>
        </is>
      </c>
      <c r="D78" s="11" t="inlineStr">
        <is>
          <t>新生代 古第三紀 漸新世 ルペリアン期（Cenozoic Paleogene Oligocene Rupelian）に形成された汽水成層ないし海成・非海成混合層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Pg3_sbs</t>
        </is>
      </c>
    </row>
    <row r="79">
      <c r="A79" s="11" t="inlineStr">
        <is>
          <t>m200k_NJ-54-16･22_u078</t>
        </is>
      </c>
      <c r="B79" s="11" t="inlineStr">
        <is>
          <t>Barremian Sandstone (Fukushima Accretionary)</t>
        </is>
      </c>
      <c r="C79" s="11" t="inlineStr">
        <is>
          <t>中生代 中期ジュラ紀 カロビアン期〜前期白亜紀 バレミアン期 海成層 砂岩泥岩互層 後期ジュラ紀-前期白亜紀付加体</t>
        </is>
      </c>
      <c r="D79" s="11" t="inlineStr">
        <is>
          <t>中生代 中期ジュラ紀 カロビアン期〜前期白亜紀 バレミアン期（Mesozoic Jurassic Middle Callovian - Early Cretaceous Barremian）に形成された海成層 砂岩泥岩互層 後期ジュラ紀-前期白亜紀付加体（marine alternation of sandstone &amp; mudstone Late Jurassic to Early Cretaceous accretionary complex）。産総研シームレス地質図V2凡例記号: J24-K11_sosma_J3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2026-08-14T03:40:09Z</dcterms:created>
  <dcterms:modified xmlns:dcterms="http://purl.org/dc/terms/" xmlns:xsi="http://www.w3.org/2001/XMLSchema-instance" xsi:type="dcterms:W3CDTF">2026-08-14T03:40:09Z</dcterms:modified>
</cp:coreProperties>
</file>