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units_review" sheetId="2" state="visible" r:id="rId2"/>
    <sheet xmlns:r="http://schemas.openxmlformats.org/officeDocument/2006/relationships" name="columns_review" sheetId="3" state="visible" r:id="rId3"/>
    <sheet xmlns:r="http://schemas.openxmlformats.org/officeDocument/2006/relationships" name="refs_review" sheetId="4" state="visible" r:id="rId4"/>
    <sheet xmlns:r="http://schemas.openxmlformats.org/officeDocument/2006/relationships" name="images_review" sheetId="5" state="visible" r:id="rId5"/>
    <sheet xmlns:r="http://schemas.openxmlformats.org/officeDocument/2006/relationships" name="project_meta" sheetId="6" state="visible" r:id="rId6"/>
    <sheet xmlns:r="http://schemas.openxmlformats.org/officeDocument/2006/relationships" name="gsj_meta" sheetId="7" state="visible" r:id="rId7"/>
    <sheet xmlns:r="http://schemas.openxmlformats.org/officeDocument/2006/relationships" name="intervals" sheetId="8" state="visible" r:id="rId8"/>
    <sheet xmlns:r="http://schemas.openxmlformats.org/officeDocument/2006/relationships" name="descriptions" sheetId="9" state="visible" r:id="rId9"/>
  </sheets>
  <definedNames>
    <definedName name="_xlnm._FilterDatabase" localSheetId="1" hidden="1">'units_review'!$A$1:$AC$11</definedName>
    <definedName name="_xlnm._FilterDatabase" localSheetId="2" hidden="1">'columns_review'!$A$1:$K$5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5">
    <font>
      <name val="Calibri"/>
      <family val="2"/>
      <color theme="1"/>
      <sz val="11"/>
      <scheme val="minor"/>
    </font>
    <font>
      <b val="1"/>
    </font>
    <font>
      <name val="Meiryo UI"/>
      <b val="1"/>
      <sz val="10"/>
    </font>
    <font>
      <name val="Meiryo UI"/>
      <sz val="9"/>
    </font>
    <font>
      <name val="Meiryo UI"/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AD3"/>
      </patternFill>
    </fill>
    <fill>
      <patternFill patternType="solid">
        <fgColor rgb="00FFF2CC"/>
      </patternFill>
    </fill>
    <fill>
      <patternFill patternType="solid">
        <fgColor rgb="00DEEAF6"/>
      </patternFill>
    </fill>
    <fill>
      <patternFill patternType="solid">
        <fgColor rgb="00595959"/>
      </patternFill>
    </fill>
    <fill>
      <patternFill patternType="solid">
        <fgColor rgb="00F2F2F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0" borderId="2" applyAlignment="1" pivotButton="0" quotePrefix="0" xfId="0">
      <alignment vertical="center" wrapText="1"/>
    </xf>
    <xf numFmtId="0" fontId="3" fillId="0" borderId="2" applyAlignment="1" pivotButton="0" quotePrefix="0" xfId="0">
      <alignment vertical="center" wrapText="1"/>
    </xf>
    <xf numFmtId="0" fontId="4" fillId="2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center" vertical="center"/>
    </xf>
    <xf numFmtId="0" fontId="3" fillId="3" borderId="2" applyAlignment="1" pivotButton="0" quotePrefix="0" xfId="0">
      <alignment vertical="center"/>
    </xf>
    <xf numFmtId="0" fontId="3" fillId="4" borderId="2" applyAlignment="1" pivotButton="0" quotePrefix="0" xfId="0">
      <alignment horizontal="center" vertical="center"/>
    </xf>
    <xf numFmtId="0" fontId="3" fillId="4" borderId="2" applyAlignment="1" pivotButton="0" quotePrefix="0" xfId="0">
      <alignment vertical="center"/>
    </xf>
    <xf numFmtId="0" fontId="3" fillId="4" borderId="2" applyAlignment="1" pivotButton="0" quotePrefix="0" xfId="0">
      <alignment horizontal="right" vertical="center"/>
    </xf>
    <xf numFmtId="164" fontId="3" fillId="5" borderId="2" applyAlignment="1" pivotButton="0" quotePrefix="0" xfId="0">
      <alignment horizontal="right" vertical="center"/>
    </xf>
    <xf numFmtId="0" fontId="3" fillId="7" borderId="2" applyAlignment="1" pivotButton="0" quotePrefix="0" xfId="0">
      <alignment vertical="center"/>
    </xf>
    <xf numFmtId="0" fontId="3" fillId="0" borderId="2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00" customWidth="1" min="2" max="2"/>
  </cols>
  <sheetData>
    <row r="1">
      <c r="A1" s="1" t="inlineStr">
        <is>
          <t>項目</t>
        </is>
      </c>
      <c r="B1" s="1" t="inlineStr">
        <is>
          <t>説明</t>
        </is>
      </c>
    </row>
    <row r="2">
      <c r="A2" s="2" t="inlineStr">
        <is>
          <t>0. このファイルの役割</t>
        </is>
      </c>
      <c r="B2" s="2" t="inlineStr">
        <is>
          <t>産総研20万分の1シームレス地質図V2から自動抽出した広域地質凡例インベントリおよび人手レビュー用スケルトンです。ここを編集して `python run.py export-200k &lt;コード/地名&gt;` を実行すると、Macrostrat公式形式(v0.1.1)の提出ファイルが作られます。</t>
        </is>
      </c>
    </row>
    <row r="3">
      <c r="A3" s="2" t="inlineStr">
        <is>
          <t>1. 色の意味（50k準拠）</t>
        </is>
      </c>
      <c r="B3" s="2" t="inlineStr">
        <is>
          <t>黄色=必ず確認・入力する必須列。 / 水色=年代(Ma)から自動計算される数式列。 / 緑=そのまま提出物に転記される列。 / グレー(REF_*)=自動取得の参照専用データ。</t>
        </is>
      </c>
    </row>
    <row r="4">
      <c r="A4" s="2" t="inlineStr">
        <is>
          <t>2. 地質帯Columnの構成</t>
        </is>
      </c>
      <c r="B4" s="2" t="inlineStr">
        <is>
          <t>同一図幅内の異なるテクトニック単元（付加体、変成帯、火山岩、堆積盆等）を独立したColumn（col_1, col_2...）に分離しています。columns_review で一覧を確認できます。</t>
        </is>
      </c>
    </row>
    <row r="5">
      <c r="A5" s="2" t="inlineStr">
        <is>
          <t>3. sort_order / position（層序順序）</t>
        </is>
      </c>
      <c r="B5" s="2" t="inlineStr">
        <is>
          <t>最下部（最古の地層）を 1 とし、上位（新しい地層）へ向かって番号が進みます（下から上への単調増加）。必要に応じて順序を書き換えてください。</t>
        </is>
      </c>
    </row>
    <row r="6">
      <c r="A6" s="2" t="inlineStr">
        <is>
          <t>4. t_prop / b_prop（自動計算）</t>
        </is>
      </c>
      <c r="B6" s="2" t="inlineStr">
        <is>
          <t>水色の t_prop・b_prop はPythonで直接初期計算済みかつ数式連動です。t_age_ma・b_age_ma を書き換えると、intervals シートの時代境界から自動で 0.000〜1.000 の比率が再計算されます。</t>
        </is>
      </c>
    </row>
    <row r="7">
      <c r="A7" s="2" t="inlineStr">
        <is>
          <t>5. 岩相（lithology / minor_lith）</t>
        </is>
      </c>
      <c r="B7" s="2" t="inlineStr">
        <is>
          <t>Macrostrat公式の214岩相オントロジーに自動正規化してあります。</t>
        </is>
      </c>
    </row>
    <row r="8">
      <c r="A8" s="2" t="inlineStr">
        <is>
          <t>6. 事前チェックと提出</t>
        </is>
      </c>
      <c r="B8" s="2" t="inlineStr">
        <is>
          <t>`python run.py check-200k &lt;地名&gt;` で年代逆転・prop範囲・語彙矛盾を厳格に検証し、`python run.py export-200k &lt;地名&gt;` でエクスポートします。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32" customWidth="1" min="4" max="4"/>
    <col width="28" customWidth="1" min="5" max="5"/>
    <col width="16" customWidth="1" min="6" max="6"/>
    <col width="12" customWidth="1" min="7" max="7"/>
    <col width="10" customWidth="1" min="8" max="8"/>
    <col width="16" customWidth="1" min="9" max="9"/>
    <col width="12" customWidth="1" min="10" max="10"/>
    <col width="10" customWidth="1" min="11" max="11"/>
    <col width="18" customWidth="1" min="12" max="12"/>
    <col width="16" customWidth="1" min="13" max="13"/>
    <col width="16" customWidth="1" min="14" max="14"/>
    <col width="40" customWidth="1" min="15" max="15"/>
    <col width="12" customWidth="1" min="16" max="16"/>
    <col width="12" customWidth="1" min="17" max="17"/>
    <col width="16" customWidth="1" min="18" max="18"/>
    <col width="18" customWidth="1" min="19" max="19"/>
    <col width="25" customWidth="1" min="20" max="20"/>
    <col width="10" customWidth="1" min="21" max="21"/>
    <col width="14" customWidth="1" min="22" max="22"/>
    <col width="20" customWidth="1" min="23" max="23"/>
    <col width="25" customWidth="1" min="24" max="24"/>
    <col width="22" customWidth="1" min="25" max="25"/>
    <col width="25" customWidth="1" min="26" max="26"/>
    <col width="18" customWidth="1" min="27" max="27"/>
    <col width="20" customWidth="1" min="28" max="28"/>
    <col width="24" customWidth="1" min="29" max="29"/>
  </cols>
  <sheetData>
    <row r="1">
      <c r="A1" s="3" t="inlineStr">
        <is>
          <t>unit_id</t>
        </is>
      </c>
      <c r="B1" s="3" t="inlineStr">
        <is>
          <t>col_id</t>
        </is>
      </c>
      <c r="C1" s="3" t="inlineStr">
        <is>
          <t>sort_order</t>
        </is>
      </c>
      <c r="D1" s="3" t="inlineStr">
        <is>
          <t>unit_name</t>
        </is>
      </c>
      <c r="E1" s="3" t="inlineStr">
        <is>
          <t>strat_name</t>
        </is>
      </c>
      <c r="F1" s="3" t="inlineStr">
        <is>
          <t>t_int</t>
        </is>
      </c>
      <c r="G1" s="3" t="inlineStr">
        <is>
          <t>t_age_ma</t>
        </is>
      </c>
      <c r="H1" s="3" t="inlineStr">
        <is>
          <t>t_prop</t>
        </is>
      </c>
      <c r="I1" s="3" t="inlineStr">
        <is>
          <t>b_int</t>
        </is>
      </c>
      <c r="J1" s="3" t="inlineStr">
        <is>
          <t>b_age_ma</t>
        </is>
      </c>
      <c r="K1" s="3" t="inlineStr">
        <is>
          <t>b_prop</t>
        </is>
      </c>
      <c r="L1" s="3" t="inlineStr">
        <is>
          <t>lithology</t>
        </is>
      </c>
      <c r="M1" s="3" t="inlineStr">
        <is>
          <t>minor_lith</t>
        </is>
      </c>
      <c r="N1" s="3" t="inlineStr">
        <is>
          <t>environment</t>
        </is>
      </c>
      <c r="O1" s="3" t="inlineStr">
        <is>
          <t>unit_description</t>
        </is>
      </c>
      <c r="P1" s="3" t="inlineStr">
        <is>
          <t>min_thickness</t>
        </is>
      </c>
      <c r="Q1" s="3" t="inlineStr">
        <is>
          <t>max_thickness</t>
        </is>
      </c>
      <c r="R1" s="3" t="inlineStr">
        <is>
          <t>basal_surface</t>
        </is>
      </c>
      <c r="S1" s="3" t="inlineStr">
        <is>
          <t>lateral_relationship</t>
        </is>
      </c>
      <c r="T1" s="3" t="inlineStr">
        <is>
          <t>comments</t>
        </is>
      </c>
      <c r="U1" s="3" t="inlineStr">
        <is>
          <t>t_pos</t>
        </is>
      </c>
      <c r="V1" s="4" t="inlineStr">
        <is>
          <t>REF_symbol</t>
        </is>
      </c>
      <c r="W1" s="4" t="inlineStr">
        <is>
          <t>REF_age_ja</t>
        </is>
      </c>
      <c r="X1" s="4" t="inlineStr">
        <is>
          <t>REF_age_en</t>
        </is>
      </c>
      <c r="Y1" s="4" t="inlineStr">
        <is>
          <t>REF_lith_ja</t>
        </is>
      </c>
      <c r="Z1" s="4" t="inlineStr">
        <is>
          <t>REF_lith_en</t>
        </is>
      </c>
      <c r="AA1" s="4" t="inlineStr">
        <is>
          <t>REF_group_ja</t>
        </is>
      </c>
      <c r="AB1" s="4" t="inlineStr">
        <is>
          <t>REF_group_en</t>
        </is>
      </c>
      <c r="AC1" s="4" t="inlineStr">
        <is>
          <t>REF_domain</t>
        </is>
      </c>
    </row>
    <row r="2">
      <c r="A2" s="5" t="inlineStr">
        <is>
          <t>m200k_NK-54-14_u001</t>
        </is>
      </c>
      <c r="B2" s="6" t="inlineStr">
        <is>
          <t>col_1</t>
        </is>
      </c>
      <c r="C2" s="6" t="n">
        <v>1</v>
      </c>
      <c r="D2" s="7" t="inlineStr">
        <is>
          <t>Norian Basalt (Sapporo Accretionary)</t>
        </is>
      </c>
      <c r="E2" s="5" t="inlineStr">
        <is>
          <t>Sapporo Accretionary Complex</t>
        </is>
      </c>
      <c r="F2" s="6" t="inlineStr">
        <is>
          <t>Norian</t>
        </is>
      </c>
      <c r="G2" s="8" t="n">
        <v>205.7</v>
      </c>
      <c r="H2" s="9">
        <f>IF(OR($F2="",$G2=""),"",IFERROR((VLOOKUP($F2,intervals!$A:$C,2,FALSE)-$G2)/(VLOOKUP($F2,intervals!$A:$C,2,FALSE)-VLOOKUP($F2,intervals!$A:$C,3,FALSE)),""))</f>
        <v/>
      </c>
      <c r="I2" s="6" t="inlineStr">
        <is>
          <t>Serpukhovian</t>
        </is>
      </c>
      <c r="J2" s="8" t="n">
        <v>330.3</v>
      </c>
      <c r="K2" s="9">
        <f>IF(OR($I2="",$J2=""),"",IFERROR((VLOOKUP($I2,intervals!$A:$C,2,FALSE)-$J2)/(VLOOKUP($I2,intervals!$A:$C,2,FALSE)-VLOOKUP($I2,intervals!$A:$C,3,FALSE)),""))</f>
        <v/>
      </c>
      <c r="L2" s="7" t="inlineStr">
        <is>
          <t>basalt</t>
        </is>
      </c>
      <c r="M2" s="5" t="inlineStr"/>
      <c r="N2" s="5" t="inlineStr">
        <is>
          <t>marine</t>
        </is>
      </c>
      <c r="O2" s="5" t="inlineStr">
        <is>
          <t>Paleozoic Carboniferous Pennsylvanian Serpukhovian - Mesozoic Late Triassic Norian; basalt oceanic Middle to Late Jurassic accretionary complex [Accretionary Complex]</t>
        </is>
      </c>
      <c r="P2" s="5" t="inlineStr"/>
      <c r="Q2" s="5" t="inlineStr"/>
      <c r="R2" s="5" t="inlineStr">
        <is>
          <t>unknown</t>
        </is>
      </c>
      <c r="S2" s="5" t="inlineStr"/>
      <c r="T2" s="5" t="inlineStr">
        <is>
          <t>GSJ 200k Seamless C13-Tr32_vbs_o_J2</t>
        </is>
      </c>
      <c r="U2" s="5" t="inlineStr"/>
      <c r="V2" s="10" t="inlineStr">
        <is>
          <t>C13-Tr32_vbs_o_J2</t>
        </is>
      </c>
      <c r="W2" s="10" t="inlineStr">
        <is>
          <t>古生代 石炭紀 ペンシルバニアン亜紀 後期ミシシッピアン亜紀〜中生代 後期三畳紀 ノーリアン期</t>
        </is>
      </c>
      <c r="X2" s="10" t="inlineStr">
        <is>
          <t>Paleozoic Carboniferous Pennsylvanian Serpukhovian - Mesozoic Late Triassic Norian</t>
        </is>
      </c>
      <c r="Y2" s="10" t="inlineStr">
        <is>
          <t>玄武岩 海洋 中期-後期ジュラ紀付加体</t>
        </is>
      </c>
      <c r="Z2" s="10" t="inlineStr">
        <is>
          <t>basalt oceanic Middle to Late Jurassic accretionary complex</t>
        </is>
      </c>
      <c r="AA2" s="10" t="inlineStr">
        <is>
          <t>付加体</t>
        </is>
      </c>
      <c r="AB2" s="10" t="inlineStr">
        <is>
          <t>Accretionary complexes</t>
        </is>
      </c>
      <c r="AC2" s="10" t="inlineStr">
        <is>
          <t>Accretionary Complex</t>
        </is>
      </c>
    </row>
    <row r="3">
      <c r="A3" s="5" t="inlineStr">
        <is>
          <t>m200k_NK-54-14_u003</t>
        </is>
      </c>
      <c r="B3" s="6" t="inlineStr">
        <is>
          <t>col_1</t>
        </is>
      </c>
      <c r="C3" s="6" t="n">
        <v>2</v>
      </c>
      <c r="D3" s="7" t="inlineStr">
        <is>
          <t>Norian Limestone (Sapporo Accretionary)</t>
        </is>
      </c>
      <c r="E3" s="5" t="inlineStr">
        <is>
          <t>Sapporo Accretionary Complex</t>
        </is>
      </c>
      <c r="F3" s="6" t="inlineStr">
        <is>
          <t>Norian</t>
        </is>
      </c>
      <c r="G3" s="8" t="n">
        <v>205.7</v>
      </c>
      <c r="H3" s="9">
        <f>IF(OR($F3="",$G3=""),"",IFERROR((VLOOKUP($F3,intervals!$A:$C,2,FALSE)-$G3)/(VLOOKUP($F3,intervals!$A:$C,2,FALSE)-VLOOKUP($F3,intervals!$A:$C,3,FALSE)),""))</f>
        <v/>
      </c>
      <c r="I3" s="6" t="inlineStr">
        <is>
          <t>Serpukhovian</t>
        </is>
      </c>
      <c r="J3" s="8" t="n">
        <v>330.3</v>
      </c>
      <c r="K3" s="9">
        <f>IF(OR($I3="",$J3=""),"",IFERROR((VLOOKUP($I3,intervals!$A:$C,2,FALSE)-$J3)/(VLOOKUP($I3,intervals!$A:$C,2,FALSE)-VLOOKUP($I3,intervals!$A:$C,3,FALSE)),""))</f>
        <v/>
      </c>
      <c r="L3" s="7" t="inlineStr">
        <is>
          <t>limestone</t>
        </is>
      </c>
      <c r="M3" s="5" t="inlineStr"/>
      <c r="N3" s="5" t="inlineStr">
        <is>
          <t>marine</t>
        </is>
      </c>
      <c r="O3" s="5" t="inlineStr">
        <is>
          <t>Paleozoic Carboniferous Pennsylvanian Serpukhovian - Mesozoic Late Triassic Norian; marine limestone Middle to Late Jurassic accretionary complex [Accretionary Complex]</t>
        </is>
      </c>
      <c r="P3" s="5" t="inlineStr"/>
      <c r="Q3" s="5" t="inlineStr"/>
      <c r="R3" s="5" t="inlineStr">
        <is>
          <t>unknown</t>
        </is>
      </c>
      <c r="S3" s="5" t="inlineStr"/>
      <c r="T3" s="5" t="inlineStr">
        <is>
          <t>GSJ 200k Seamless C13-Tr32_sol_J2</t>
        </is>
      </c>
      <c r="U3" s="5" t="inlineStr"/>
      <c r="V3" s="10" t="inlineStr">
        <is>
          <t>C13-Tr32_sol_J2</t>
        </is>
      </c>
      <c r="W3" s="10" t="inlineStr">
        <is>
          <t>古生代 石炭紀 ペンシルバニアン亜紀 後期ミシシッピアン亜紀〜中生代 後期三畳紀 ノーリアン期</t>
        </is>
      </c>
      <c r="X3" s="10" t="inlineStr">
        <is>
          <t>Paleozoic Carboniferous Pennsylvanian Serpukhovian - Mesozoic Late Triassic Norian</t>
        </is>
      </c>
      <c r="Y3" s="10" t="inlineStr">
        <is>
          <t>海成層 石灰岩 中期-後期ジュラ紀付加体</t>
        </is>
      </c>
      <c r="Z3" s="10" t="inlineStr">
        <is>
          <t>marine limestone Middle to Late Jurassic accretionary complex</t>
        </is>
      </c>
      <c r="AA3" s="10" t="inlineStr">
        <is>
          <t>付加体</t>
        </is>
      </c>
      <c r="AB3" s="10" t="inlineStr">
        <is>
          <t>Accretionary complexes</t>
        </is>
      </c>
      <c r="AC3" s="10" t="inlineStr">
        <is>
          <t>Accretionary Complex</t>
        </is>
      </c>
    </row>
    <row r="4">
      <c r="A4" s="5" t="inlineStr">
        <is>
          <t>m200k_NK-54-14_u002</t>
        </is>
      </c>
      <c r="B4" s="6" t="inlineStr">
        <is>
          <t>col_1</t>
        </is>
      </c>
      <c r="C4" s="6" t="n">
        <v>3</v>
      </c>
      <c r="D4" s="7" t="inlineStr">
        <is>
          <t>Oxfordian Sedimentary (Sapporo Accretionary)</t>
        </is>
      </c>
      <c r="E4" s="5" t="inlineStr">
        <is>
          <t>Sapporo Accretionary Complex</t>
        </is>
      </c>
      <c r="F4" s="6" t="inlineStr">
        <is>
          <t>Oxfordian</t>
        </is>
      </c>
      <c r="G4" s="8" t="n">
        <v>154.8</v>
      </c>
      <c r="H4" s="9">
        <f>IF(OR($F4="",$G4=""),"",IFERROR((VLOOKUP($F4,intervals!$A:$C,2,FALSE)-$G4)/(VLOOKUP($F4,intervals!$A:$C,2,FALSE)-VLOOKUP($F4,intervals!$A:$C,3,FALSE)),""))</f>
        <v/>
      </c>
      <c r="I4" s="6" t="inlineStr">
        <is>
          <t>Jurassic</t>
        </is>
      </c>
      <c r="J4" s="8" t="n">
        <v>201.4</v>
      </c>
      <c r="K4" s="9">
        <f>IF(OR($I4="",$J4=""),"",IFERROR((VLOOKUP($I4,intervals!$A:$C,2,FALSE)-$J4)/(VLOOKUP($I4,intervals!$A:$C,2,FALSE)-VLOOKUP($I4,intervals!$A:$C,3,FALSE)),""))</f>
        <v/>
      </c>
      <c r="L4" s="7" t="inlineStr">
        <is>
          <t>sedimentary</t>
        </is>
      </c>
      <c r="M4" s="5" t="inlineStr"/>
      <c r="N4" s="5" t="inlineStr">
        <is>
          <t>marine</t>
        </is>
      </c>
      <c r="O4" s="5" t="inlineStr">
        <is>
          <t>Mesozoic Jurassic Middle - Late Jurassic Oxfordian; mixed rock Middle to Late Jurassic accretionary complex [Accretionary Complex]</t>
        </is>
      </c>
      <c r="P4" s="5" t="inlineStr"/>
      <c r="Q4" s="5" t="inlineStr"/>
      <c r="R4" s="5" t="inlineStr">
        <is>
          <t>unknown</t>
        </is>
      </c>
      <c r="S4" s="5" t="inlineStr"/>
      <c r="T4" s="5" t="inlineStr">
        <is>
          <t>GSJ 200k Seamless J2-31_sx_J2</t>
        </is>
      </c>
      <c r="U4" s="5" t="inlineStr"/>
      <c r="V4" s="10" t="inlineStr">
        <is>
          <t>J2-31_sx_J2</t>
        </is>
      </c>
      <c r="W4" s="10" t="inlineStr">
        <is>
          <t>中生代 中期ジュラ紀〜後期ジュラ紀 オックスフォーディアン期</t>
        </is>
      </c>
      <c r="X4" s="10" t="inlineStr">
        <is>
          <t>Mesozoic Jurassic Middle - Late Jurassic Oxfordian</t>
        </is>
      </c>
      <c r="Y4" s="10" t="inlineStr">
        <is>
          <t>混在岩 中期-後期ジュラ紀付加体</t>
        </is>
      </c>
      <c r="Z4" s="10" t="inlineStr">
        <is>
          <t>mixed rock Middle to Late Jurassic accretionary complex</t>
        </is>
      </c>
      <c r="AA4" s="10" t="inlineStr">
        <is>
          <t>付加体</t>
        </is>
      </c>
      <c r="AB4" s="10" t="inlineStr">
        <is>
          <t>Accretionary complexes</t>
        </is>
      </c>
      <c r="AC4" s="10" t="inlineStr">
        <is>
          <t>Accretionary Complex</t>
        </is>
      </c>
    </row>
    <row r="5">
      <c r="A5" s="5" t="inlineStr">
        <is>
          <t>m200k_NK-54-14_u004</t>
        </is>
      </c>
      <c r="B5" s="6" t="inlineStr">
        <is>
          <t>col_2</t>
        </is>
      </c>
      <c r="C5" s="6" t="n">
        <v>1</v>
      </c>
      <c r="D5" s="7" t="inlineStr">
        <is>
          <t>Pleistocene Gravel (Sapporo Quaternary)</t>
        </is>
      </c>
      <c r="E5" s="5" t="inlineStr">
        <is>
          <t>Sapporo Quaternary Basin &amp; Terrace Deposits</t>
        </is>
      </c>
      <c r="F5" s="6" t="inlineStr">
        <is>
          <t>Pleistocene</t>
        </is>
      </c>
      <c r="G5" s="8" t="n">
        <v>0.0117</v>
      </c>
      <c r="H5" s="9">
        <f>IF(OR($F5="",$G5=""),"",IFERROR((VLOOKUP($F5,intervals!$A:$C,2,FALSE)-$G5)/(VLOOKUP($F5,intervals!$A:$C,2,FALSE)-VLOOKUP($F5,intervals!$A:$C,3,FALSE)),""))</f>
        <v/>
      </c>
      <c r="I5" s="6" t="inlineStr">
        <is>
          <t>Pleistocene</t>
        </is>
      </c>
      <c r="J5" s="8" t="n">
        <v>2.58</v>
      </c>
      <c r="K5" s="9">
        <f>IF(OR($I5="",$J5=""),"",IFERROR((VLOOKUP($I5,intervals!$A:$C,2,FALSE)-$J5)/(VLOOKUP($I5,intervals!$A:$C,2,FALSE)-VLOOKUP($I5,intervals!$A:$C,3,FALSE)),""))</f>
        <v/>
      </c>
      <c r="L5" s="7" t="inlineStr">
        <is>
          <t>gravel</t>
        </is>
      </c>
      <c r="M5" s="5" t="inlineStr"/>
      <c r="N5" s="5" t="inlineStr">
        <is>
          <t>unknown</t>
        </is>
      </c>
      <c r="O5" s="5" t="inlineStr">
        <is>
          <t>Cenozoic Quaternary early Late Pleistocene; terrace deposits [Quaternary Basin &amp; Terrace Deposits]</t>
        </is>
      </c>
      <c r="P5" s="5" t="inlineStr"/>
      <c r="Q5" s="5" t="inlineStr"/>
      <c r="R5" s="5" t="inlineStr">
        <is>
          <t>unknown</t>
        </is>
      </c>
      <c r="S5" s="5" t="inlineStr"/>
      <c r="T5" s="5" t="inlineStr">
        <is>
          <t>GSJ 200k Seamless Q31_std</t>
        </is>
      </c>
      <c r="U5" s="5" t="inlineStr"/>
      <c r="V5" s="10" t="inlineStr">
        <is>
          <t>Q31_std</t>
        </is>
      </c>
      <c r="W5" s="10" t="inlineStr">
        <is>
          <t>新生代 第四紀 後期更新世前期</t>
        </is>
      </c>
      <c r="X5" s="10" t="inlineStr">
        <is>
          <t>Cenozoic Quaternary early Late Pleistocene</t>
        </is>
      </c>
      <c r="Y5" s="10" t="inlineStr">
        <is>
          <t>段丘堆積物</t>
        </is>
      </c>
      <c r="Z5" s="10" t="inlineStr">
        <is>
          <t>terrace deposits</t>
        </is>
      </c>
      <c r="AA5" s="10" t="inlineStr">
        <is>
          <t>堆積岩</t>
        </is>
      </c>
      <c r="AB5" s="10" t="inlineStr">
        <is>
          <t>Sedimentary rocks</t>
        </is>
      </c>
      <c r="AC5" s="10" t="inlineStr">
        <is>
          <t>Quaternary Basin &amp; Terrace Deposits</t>
        </is>
      </c>
    </row>
    <row r="6">
      <c r="A6" s="5" t="inlineStr">
        <is>
          <t>m200k_NK-54-14_u006</t>
        </is>
      </c>
      <c r="B6" s="6" t="inlineStr">
        <is>
          <t>col_2</t>
        </is>
      </c>
      <c r="C6" s="6" t="n">
        <v>2</v>
      </c>
      <c r="D6" s="7" t="inlineStr">
        <is>
          <t>Pleistocene Sedimentary (Sapporo Quaternary)</t>
        </is>
      </c>
      <c r="E6" s="5" t="inlineStr">
        <is>
          <t>Sapporo Quaternary Basin &amp; Terrace Deposits</t>
        </is>
      </c>
      <c r="F6" s="6" t="inlineStr">
        <is>
          <t>Pleistocene</t>
        </is>
      </c>
      <c r="G6" s="8" t="n">
        <v>0.0117</v>
      </c>
      <c r="H6" s="9">
        <f>IF(OR($F6="",$G6=""),"",IFERROR((VLOOKUP($F6,intervals!$A:$C,2,FALSE)-$G6)/(VLOOKUP($F6,intervals!$A:$C,2,FALSE)-VLOOKUP($F6,intervals!$A:$C,3,FALSE)),""))</f>
        <v/>
      </c>
      <c r="I6" s="6" t="inlineStr">
        <is>
          <t>Pleistocene</t>
        </is>
      </c>
      <c r="J6" s="8" t="n">
        <v>2.58</v>
      </c>
      <c r="K6" s="9">
        <f>IF(OR($I6="",$J6=""),"",IFERROR((VLOOKUP($I6,intervals!$A:$C,2,FALSE)-$J6)/(VLOOKUP($I6,intervals!$A:$C,2,FALSE)-VLOOKUP($I6,intervals!$A:$C,3,FALSE)),""))</f>
        <v/>
      </c>
      <c r="L6" s="7" t="inlineStr">
        <is>
          <t>sedimentary</t>
        </is>
      </c>
      <c r="M6" s="5" t="inlineStr"/>
      <c r="N6" s="5" t="inlineStr">
        <is>
          <t>marine</t>
        </is>
      </c>
      <c r="O6" s="5" t="inlineStr">
        <is>
          <t>Cenozoic Quaternary Late Pleistocene; non-marine sediments [Quaternary Basin &amp; Terrace Deposits]</t>
        </is>
      </c>
      <c r="P6" s="5" t="inlineStr"/>
      <c r="Q6" s="5" t="inlineStr"/>
      <c r="R6" s="5" t="inlineStr">
        <is>
          <t>unknown</t>
        </is>
      </c>
      <c r="S6" s="5" t="inlineStr"/>
      <c r="T6" s="5" t="inlineStr">
        <is>
          <t>GSJ 200k Seamless Q3_sn</t>
        </is>
      </c>
      <c r="U6" s="5" t="inlineStr"/>
      <c r="V6" s="10" t="inlineStr">
        <is>
          <t>Q3_sn</t>
        </is>
      </c>
      <c r="W6" s="10" t="inlineStr">
        <is>
          <t>新生代 第四紀 後期更新世</t>
        </is>
      </c>
      <c r="X6" s="10" t="inlineStr">
        <is>
          <t>Cenozoic Quaternary Late Pleistocene</t>
        </is>
      </c>
      <c r="Y6" s="10" t="inlineStr">
        <is>
          <t>非海成層</t>
        </is>
      </c>
      <c r="Z6" s="10" t="inlineStr">
        <is>
          <t>non-marine sediments</t>
        </is>
      </c>
      <c r="AA6" s="10" t="inlineStr">
        <is>
          <t>堆積岩</t>
        </is>
      </c>
      <c r="AB6" s="10" t="inlineStr">
        <is>
          <t>Sedimentary rocks</t>
        </is>
      </c>
      <c r="AC6" s="10" t="inlineStr">
        <is>
          <t>Quaternary Basin &amp; Terrace Deposits</t>
        </is>
      </c>
    </row>
    <row r="7">
      <c r="A7" s="5" t="inlineStr">
        <is>
          <t>m200k_NK-54-14_u005</t>
        </is>
      </c>
      <c r="B7" s="6" t="inlineStr">
        <is>
          <t>col_2</t>
        </is>
      </c>
      <c r="C7" s="6" t="n">
        <v>3</v>
      </c>
      <c r="D7" s="7" t="inlineStr">
        <is>
          <t>Holocene Sedimentary (Sapporo Quaternary)</t>
        </is>
      </c>
      <c r="E7" s="5" t="inlineStr">
        <is>
          <t>Sapporo Quaternary Basin &amp; Terrace Deposits</t>
        </is>
      </c>
      <c r="F7" s="6" t="inlineStr">
        <is>
          <t>Holocene</t>
        </is>
      </c>
      <c r="G7" s="8" t="n">
        <v>0</v>
      </c>
      <c r="H7" s="9">
        <f>IF(OR($F7="",$G7=""),"",IFERROR((VLOOKUP($F7,intervals!$A:$C,2,FALSE)-$G7)/(VLOOKUP($F7,intervals!$A:$C,2,FALSE)-VLOOKUP($F7,intervals!$A:$C,3,FALSE)),""))</f>
        <v/>
      </c>
      <c r="I7" s="6" t="inlineStr">
        <is>
          <t>Holocene</t>
        </is>
      </c>
      <c r="J7" s="8" t="n">
        <v>0.0117</v>
      </c>
      <c r="K7" s="9">
        <f>IF(OR($I7="",$J7=""),"",IFERROR((VLOOKUP($I7,intervals!$A:$C,2,FALSE)-$J7)/(VLOOKUP($I7,intervals!$A:$C,2,FALSE)-VLOOKUP($I7,intervals!$A:$C,3,FALSE)),""))</f>
        <v/>
      </c>
      <c r="L7" s="7" t="inlineStr">
        <is>
          <t>sedimentary</t>
        </is>
      </c>
      <c r="M7" s="5" t="inlineStr"/>
      <c r="N7" s="5" t="inlineStr">
        <is>
          <t>fluvial</t>
        </is>
      </c>
      <c r="O7" s="5" t="inlineStr">
        <is>
          <t>Cenozoic Quaternary Holocene; valley floor, intermountain basin, river &amp;  coastal plain deposits [Quaternary Basin &amp; Terrace Deposits]</t>
        </is>
      </c>
      <c r="P7" s="5" t="inlineStr"/>
      <c r="Q7" s="5" t="inlineStr"/>
      <c r="R7" s="5" t="inlineStr">
        <is>
          <t>unknown</t>
        </is>
      </c>
      <c r="S7" s="5" t="inlineStr"/>
      <c r="T7" s="5" t="inlineStr">
        <is>
          <t>GSJ 200k Seamless H_sad</t>
        </is>
      </c>
      <c r="U7" s="5" t="inlineStr"/>
      <c r="V7" s="10" t="inlineStr">
        <is>
          <t>H_sad</t>
        </is>
      </c>
      <c r="W7" s="10" t="inlineStr">
        <is>
          <t>新生代 第四紀 完新世</t>
        </is>
      </c>
      <c r="X7" s="10" t="inlineStr">
        <is>
          <t>Cenozoic Quaternary Holocene</t>
        </is>
      </c>
      <c r="Y7" s="10" t="inlineStr">
        <is>
          <t>谷底平野・山間盆地・河川・海岸平野堆積物</t>
        </is>
      </c>
      <c r="Z7" s="10" t="inlineStr">
        <is>
          <t>valley floor, intermountain basin, river &amp;  coastal plain deposits</t>
        </is>
      </c>
      <c r="AA7" s="10" t="inlineStr">
        <is>
          <t>堆積岩</t>
        </is>
      </c>
      <c r="AB7" s="10" t="inlineStr">
        <is>
          <t>Sedimentary rocks</t>
        </is>
      </c>
      <c r="AC7" s="10" t="inlineStr">
        <is>
          <t>Quaternary Basin &amp; Terrace Deposits</t>
        </is>
      </c>
    </row>
    <row r="8">
      <c r="A8" s="5" t="inlineStr">
        <is>
          <t>m200k_NK-54-14_u007</t>
        </is>
      </c>
      <c r="B8" s="6" t="inlineStr">
        <is>
          <t>col_3</t>
        </is>
      </c>
      <c r="C8" s="6" t="n">
        <v>1</v>
      </c>
      <c r="D8" s="7" t="inlineStr">
        <is>
          <t>Aquitanian Andesite (Sapporo Neogene-Paleogene)</t>
        </is>
      </c>
      <c r="E8" s="5" t="inlineStr">
        <is>
          <t>Sapporo Neogene-Paleogene Volcanic Complex</t>
        </is>
      </c>
      <c r="F8" s="6" t="inlineStr">
        <is>
          <t>Aquitanian</t>
        </is>
      </c>
      <c r="G8" s="8" t="n">
        <v>20.45</v>
      </c>
      <c r="H8" s="9">
        <f>IF(OR($F8="",$G8=""),"",IFERROR((VLOOKUP($F8,intervals!$A:$C,2,FALSE)-$G8)/(VLOOKUP($F8,intervals!$A:$C,2,FALSE)-VLOOKUP($F8,intervals!$A:$C,3,FALSE)),""))</f>
        <v/>
      </c>
      <c r="I8" s="6" t="inlineStr">
        <is>
          <t>Chattian</t>
        </is>
      </c>
      <c r="J8" s="8" t="n">
        <v>27.3</v>
      </c>
      <c r="K8" s="9">
        <f>IF(OR($I8="",$J8=""),"",IFERROR((VLOOKUP($I8,intervals!$A:$C,2,FALSE)-$J8)/(VLOOKUP($I8,intervals!$A:$C,2,FALSE)-VLOOKUP($I8,intervals!$A:$C,3,FALSE)),""))</f>
        <v/>
      </c>
      <c r="L8" s="7" t="inlineStr">
        <is>
          <t>andesite</t>
        </is>
      </c>
      <c r="M8" s="5" t="inlineStr"/>
      <c r="N8" s="5" t="inlineStr">
        <is>
          <t>volcanic</t>
        </is>
      </c>
      <c r="O8" s="5" t="inlineStr">
        <is>
          <t>Cenozoic Paleogene Oligocene Chattian - Neogene Miocene Aquitanian; andesite &amp; basaltic andesite lava &amp; pyroclastic rocks [Neogene-Paleogene Volcanic Complex]</t>
        </is>
      </c>
      <c r="P8" s="5" t="inlineStr"/>
      <c r="Q8" s="5" t="inlineStr"/>
      <c r="R8" s="5" t="inlineStr">
        <is>
          <t>unknown</t>
        </is>
      </c>
      <c r="S8" s="5" t="inlineStr"/>
      <c r="T8" s="5" t="inlineStr">
        <is>
          <t>GSJ 200k Seamless Pg4_vis_al</t>
        </is>
      </c>
      <c r="U8" s="5" t="inlineStr"/>
      <c r="V8" s="10" t="inlineStr">
        <is>
          <t>Pg4_vis_al</t>
        </is>
      </c>
      <c r="W8" s="10" t="inlineStr">
        <is>
          <t>新生代 古第三紀 漸新世 チャッティアン期〜新第三紀 中新世 アキタニアン期</t>
        </is>
      </c>
      <c r="X8" s="10" t="inlineStr">
        <is>
          <t>Cenozoic Paleogene Oligocene Chattian - Neogene Miocene Aquitanian</t>
        </is>
      </c>
      <c r="Y8" s="10" t="inlineStr">
        <is>
          <t>安山岩・玄武岩質安山岩 溶岩・火砕岩</t>
        </is>
      </c>
      <c r="Z8" s="10" t="inlineStr">
        <is>
          <t>andesite &amp; basaltic andesite lava &amp; pyroclastic rocks</t>
        </is>
      </c>
      <c r="AA8" s="10" t="inlineStr">
        <is>
          <t>火成岩</t>
        </is>
      </c>
      <c r="AB8" s="10" t="inlineStr">
        <is>
          <t>Igneous rocks</t>
        </is>
      </c>
      <c r="AC8" s="10" t="inlineStr">
        <is>
          <t>Neogene-Paleogene Volcanic Complex</t>
        </is>
      </c>
    </row>
    <row r="9">
      <c r="A9" s="5" t="inlineStr">
        <is>
          <t>m200k_NK-54-14_u008</t>
        </is>
      </c>
      <c r="B9" s="6" t="inlineStr">
        <is>
          <t>col_3</t>
        </is>
      </c>
      <c r="C9" s="6" t="n">
        <v>2</v>
      </c>
      <c r="D9" s="7" t="inlineStr">
        <is>
          <t>Tortonian Dacite (Sapporo Neogene-Paleogene)</t>
        </is>
      </c>
      <c r="E9" s="5" t="inlineStr">
        <is>
          <t>Sapporo Neogene-Paleogene Volcanic Complex</t>
        </is>
      </c>
      <c r="F9" s="6" t="inlineStr">
        <is>
          <t>Tortonian</t>
        </is>
      </c>
      <c r="G9" s="8" t="n">
        <v>7.246</v>
      </c>
      <c r="H9" s="9">
        <f>IF(OR($F9="",$G9=""),"",IFERROR((VLOOKUP($F9,intervals!$A:$C,2,FALSE)-$G9)/(VLOOKUP($F9,intervals!$A:$C,2,FALSE)-VLOOKUP($F9,intervals!$A:$C,3,FALSE)),""))</f>
        <v/>
      </c>
      <c r="I9" s="6" t="inlineStr">
        <is>
          <t>Langhian</t>
        </is>
      </c>
      <c r="J9" s="8" t="n">
        <v>15.98</v>
      </c>
      <c r="K9" s="9">
        <f>IF(OR($I9="",$J9=""),"",IFERROR((VLOOKUP($I9,intervals!$A:$C,2,FALSE)-$J9)/(VLOOKUP($I9,intervals!$A:$C,2,FALSE)-VLOOKUP($I9,intervals!$A:$C,3,FALSE)),""))</f>
        <v/>
      </c>
      <c r="L9" s="7" t="inlineStr">
        <is>
          <t>dacite</t>
        </is>
      </c>
      <c r="M9" s="5" t="inlineStr">
        <is>
          <t>rhyolite</t>
        </is>
      </c>
      <c r="N9" s="5" t="inlineStr">
        <is>
          <t>volcanic</t>
        </is>
      </c>
      <c r="O9" s="5" t="inlineStr">
        <is>
          <t>Cenozoic Neogene Miocene late Langhian - Tortonian; dacite &amp; rhyolite intrusives rocks [Neogene-Paleogene Volcanic Complex]</t>
        </is>
      </c>
      <c r="P9" s="5" t="inlineStr"/>
      <c r="Q9" s="5" t="inlineStr"/>
      <c r="R9" s="5" t="inlineStr">
        <is>
          <t>unknown</t>
        </is>
      </c>
      <c r="S9" s="5" t="inlineStr"/>
      <c r="T9" s="5" t="inlineStr">
        <is>
          <t>GSJ 200k Seamless N2_vas_ai</t>
        </is>
      </c>
      <c r="U9" s="5" t="inlineStr"/>
      <c r="V9" s="10" t="inlineStr">
        <is>
          <t>N2_vas_ai</t>
        </is>
      </c>
      <c r="W9" s="10" t="inlineStr">
        <is>
          <t>新生代 新第三紀 中新世 後期ランギアン期〜トートニアン期</t>
        </is>
      </c>
      <c r="X9" s="10" t="inlineStr">
        <is>
          <t>Cenozoic Neogene Miocene late Langhian - Tortonian</t>
        </is>
      </c>
      <c r="Y9" s="10" t="inlineStr">
        <is>
          <t>デイサイト・流紋岩 貫入岩</t>
        </is>
      </c>
      <c r="Z9" s="10" t="inlineStr">
        <is>
          <t>dacite &amp; rhyolite intrusives rocks</t>
        </is>
      </c>
      <c r="AA9" s="10" t="inlineStr">
        <is>
          <t>火成岩</t>
        </is>
      </c>
      <c r="AB9" s="10" t="inlineStr">
        <is>
          <t>Igneous rocks</t>
        </is>
      </c>
      <c r="AC9" s="10" t="inlineStr">
        <is>
          <t>Neogene-Paleogene Volcanic Complex</t>
        </is>
      </c>
    </row>
    <row r="10">
      <c r="A10" s="5" t="inlineStr">
        <is>
          <t>m200k_NK-54-14_u010</t>
        </is>
      </c>
      <c r="B10" s="6" t="inlineStr">
        <is>
          <t>col_4</t>
        </is>
      </c>
      <c r="C10" s="6" t="n">
        <v>1</v>
      </c>
      <c r="D10" s="7" t="inlineStr">
        <is>
          <t>Pleistocene Andesite (Sapporo Quaternary)</t>
        </is>
      </c>
      <c r="E10" s="5" t="inlineStr">
        <is>
          <t>Sapporo Quaternary Volcanic Arc</t>
        </is>
      </c>
      <c r="F10" s="6" t="inlineStr">
        <is>
          <t>Pleistocene</t>
        </is>
      </c>
      <c r="G10" s="8" t="n">
        <v>0.0117</v>
      </c>
      <c r="H10" s="9">
        <f>IF(OR($F10="",$G10=""),"",IFERROR((VLOOKUP($F10,intervals!$A:$C,2,FALSE)-$G10)/(VLOOKUP($F10,intervals!$A:$C,2,FALSE)-VLOOKUP($F10,intervals!$A:$C,3,FALSE)),""))</f>
        <v/>
      </c>
      <c r="I10" s="6" t="inlineStr">
        <is>
          <t>Pleistocene</t>
        </is>
      </c>
      <c r="J10" s="8" t="n">
        <v>2.58</v>
      </c>
      <c r="K10" s="9">
        <f>IF(OR($I10="",$J10=""),"",IFERROR((VLOOKUP($I10,intervals!$A:$C,2,FALSE)-$J10)/(VLOOKUP($I10,intervals!$A:$C,2,FALSE)-VLOOKUP($I10,intervals!$A:$C,3,FALSE)),""))</f>
        <v/>
      </c>
      <c r="L10" s="7" t="inlineStr">
        <is>
          <t>andesite</t>
        </is>
      </c>
      <c r="M10" s="5" t="inlineStr"/>
      <c r="N10" s="5" t="inlineStr">
        <is>
          <t>volcanic</t>
        </is>
      </c>
      <c r="O10" s="5" t="inlineStr">
        <is>
          <t>Cenozoic Quaternary Late Pleistocene; andesite &amp; basaltic andesite lava &amp; pyroclastic rocks [Quaternary Volcanic Arc]</t>
        </is>
      </c>
      <c r="P10" s="5" t="inlineStr"/>
      <c r="Q10" s="5" t="inlineStr"/>
      <c r="R10" s="5" t="inlineStr">
        <is>
          <t>unknown</t>
        </is>
      </c>
      <c r="S10" s="5" t="inlineStr"/>
      <c r="T10" s="5" t="inlineStr">
        <is>
          <t>GSJ 200k Seamless Q3_vis_al</t>
        </is>
      </c>
      <c r="U10" s="5" t="inlineStr"/>
      <c r="V10" s="10" t="inlineStr">
        <is>
          <t>Q3_vis_al</t>
        </is>
      </c>
      <c r="W10" s="10" t="inlineStr">
        <is>
          <t>新生代 第四紀 後期更新世</t>
        </is>
      </c>
      <c r="X10" s="10" t="inlineStr">
        <is>
          <t>Cenozoic Quaternary Late Pleistocene</t>
        </is>
      </c>
      <c r="Y10" s="10" t="inlineStr">
        <is>
          <t>安山岩・玄武岩質安山岩 溶岩・火砕岩</t>
        </is>
      </c>
      <c r="Z10" s="10" t="inlineStr">
        <is>
          <t>andesite &amp; basaltic andesite lava &amp; pyroclastic rocks</t>
        </is>
      </c>
      <c r="AA10" s="10" t="inlineStr">
        <is>
          <t>火成岩</t>
        </is>
      </c>
      <c r="AB10" s="10" t="inlineStr">
        <is>
          <t>Igneous rocks</t>
        </is>
      </c>
      <c r="AC10" s="10" t="inlineStr">
        <is>
          <t>Quaternary Volcanic Arc</t>
        </is>
      </c>
    </row>
    <row r="11">
      <c r="A11" s="5" t="inlineStr">
        <is>
          <t>m200k_NK-54-14_u009</t>
        </is>
      </c>
      <c r="B11" s="6" t="inlineStr">
        <is>
          <t>col_4</t>
        </is>
      </c>
      <c r="C11" s="6" t="n">
        <v>2</v>
      </c>
      <c r="D11" s="7" t="inlineStr">
        <is>
          <t>Holocene Dacite (Sapporo Quaternary)</t>
        </is>
      </c>
      <c r="E11" s="5" t="inlineStr">
        <is>
          <t>Sapporo Quaternary Volcanic Arc</t>
        </is>
      </c>
      <c r="F11" s="6" t="inlineStr">
        <is>
          <t>Holocene</t>
        </is>
      </c>
      <c r="G11" s="8" t="n">
        <v>0</v>
      </c>
      <c r="H11" s="9">
        <f>IF(OR($F11="",$G11=""),"",IFERROR((VLOOKUP($F11,intervals!$A:$C,2,FALSE)-$G11)/(VLOOKUP($F11,intervals!$A:$C,2,FALSE)-VLOOKUP($F11,intervals!$A:$C,3,FALSE)),""))</f>
        <v/>
      </c>
      <c r="I11" s="6" t="inlineStr">
        <is>
          <t>Holocene</t>
        </is>
      </c>
      <c r="J11" s="8" t="n">
        <v>0.0117</v>
      </c>
      <c r="K11" s="9">
        <f>IF(OR($I11="",$J11=""),"",IFERROR((VLOOKUP($I11,intervals!$A:$C,2,FALSE)-$J11)/(VLOOKUP($I11,intervals!$A:$C,2,FALSE)-VLOOKUP($I11,intervals!$A:$C,3,FALSE)),""))</f>
        <v/>
      </c>
      <c r="L11" s="7" t="inlineStr">
        <is>
          <t>dacite</t>
        </is>
      </c>
      <c r="M11" s="5" t="inlineStr">
        <is>
          <t>rhyolite</t>
        </is>
      </c>
      <c r="N11" s="5" t="inlineStr">
        <is>
          <t>volcanic</t>
        </is>
      </c>
      <c r="O11" s="5" t="inlineStr">
        <is>
          <t>Cenozoic Quaternary Holocene; dacite &amp; rhyolite lava &amp; pyroclastic rocks [Quaternary Volcanic Arc]</t>
        </is>
      </c>
      <c r="P11" s="5" t="inlineStr"/>
      <c r="Q11" s="5" t="inlineStr"/>
      <c r="R11" s="5" t="inlineStr">
        <is>
          <t>unknown</t>
        </is>
      </c>
      <c r="S11" s="5" t="inlineStr"/>
      <c r="T11" s="5" t="inlineStr">
        <is>
          <t>GSJ 200k Seamless H_vas_al</t>
        </is>
      </c>
      <c r="U11" s="5" t="inlineStr"/>
      <c r="V11" s="10" t="inlineStr">
        <is>
          <t>H_vas_al</t>
        </is>
      </c>
      <c r="W11" s="10" t="inlineStr">
        <is>
          <t>新生代 第四紀 完新世</t>
        </is>
      </c>
      <c r="X11" s="10" t="inlineStr">
        <is>
          <t>Cenozoic Quaternary Holocene</t>
        </is>
      </c>
      <c r="Y11" s="10" t="inlineStr">
        <is>
          <t>デイサイト・流紋岩 溶岩・火砕岩</t>
        </is>
      </c>
      <c r="Z11" s="10" t="inlineStr">
        <is>
          <t>dacite &amp; rhyolite lava &amp; pyroclastic rocks</t>
        </is>
      </c>
      <c r="AA11" s="10" t="inlineStr">
        <is>
          <t>火成岩</t>
        </is>
      </c>
      <c r="AB11" s="10" t="inlineStr">
        <is>
          <t>Igneous rocks</t>
        </is>
      </c>
      <c r="AC11" s="10" t="inlineStr">
        <is>
          <t>Quaternary Volcanic Arc</t>
        </is>
      </c>
    </row>
  </sheetData>
  <autoFilter ref="A1:AC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0" customWidth="1" min="4" max="4"/>
    <col width="15" customWidth="1" min="5" max="5"/>
    <col width="15" customWidth="1" min="6" max="6"/>
    <col width="15" customWidth="1" min="7" max="7"/>
    <col width="15" customWidth="1" min="8" max="8"/>
    <col width="20" customWidth="1" min="9" max="9"/>
    <col width="20" customWidth="1" min="10" max="10"/>
    <col width="15" customWidth="1" min="11" max="11"/>
  </cols>
  <sheetData>
    <row r="1">
      <c r="A1" s="3" t="inlineStr">
        <is>
          <t>col_id</t>
        </is>
      </c>
      <c r="B1" s="3" t="inlineStr">
        <is>
          <t>col_name</t>
        </is>
      </c>
      <c r="C1" s="3" t="inlineStr">
        <is>
          <t>col_group</t>
        </is>
      </c>
      <c r="D1" s="3" t="inlineStr">
        <is>
          <t>domain_name</t>
        </is>
      </c>
      <c r="E1" s="3" t="inlineStr">
        <is>
          <t>b_int</t>
        </is>
      </c>
      <c r="F1" s="3" t="inlineStr">
        <is>
          <t>t_int</t>
        </is>
      </c>
      <c r="G1" s="3" t="inlineStr">
        <is>
          <t>b_prop</t>
        </is>
      </c>
      <c r="H1" s="3" t="inlineStr">
        <is>
          <t>t_prop</t>
        </is>
      </c>
      <c r="I1" s="3" t="inlineStr">
        <is>
          <t>geom</t>
        </is>
      </c>
      <c r="J1" s="3" t="inlineStr">
        <is>
          <t>rgeom</t>
        </is>
      </c>
      <c r="K1" s="3" t="inlineStr">
        <is>
          <t>comments</t>
        </is>
      </c>
    </row>
    <row r="2">
      <c r="A2" s="11" t="inlineStr">
        <is>
          <t>col_1</t>
        </is>
      </c>
      <c r="B2" s="11" t="inlineStr">
        <is>
          <t>Sapporo (Accretionary Complex) Column</t>
        </is>
      </c>
      <c r="C2" s="11" t="inlineStr">
        <is>
          <t>GSJ_200K_NK_54_14_Accretionary_Complex</t>
        </is>
      </c>
      <c r="D2" s="11" t="inlineStr">
        <is>
          <t>Accretionary Complex</t>
        </is>
      </c>
      <c r="E2" s="11" t="inlineStr">
        <is>
          <t>Serpukhovian</t>
        </is>
      </c>
      <c r="F2" s="11" t="inlineStr">
        <is>
          <t>Oxfordian</t>
        </is>
      </c>
      <c r="G2" s="11" t="n">
        <v>0</v>
      </c>
      <c r="H2" s="11" t="n">
        <v>1</v>
      </c>
      <c r="I2" s="11" t="inlineStr">
        <is>
          <t>POLYGON((141.0 43.0, 142.0 43.0, 142.0 43.666667, 141.0 43.666667, 141.0 43.0))</t>
        </is>
      </c>
      <c r="J2" s="11" t="inlineStr">
        <is>
          <t>POINT(141.5 43.333333499999995)</t>
        </is>
      </c>
      <c r="K2" s="11" t="inlineStr">
        <is>
          <t>GSJ 200k Tectonic Skeleton: Accretionary Complex in 札幌 (NK-54-14)</t>
        </is>
      </c>
    </row>
    <row r="3">
      <c r="A3" s="11" t="inlineStr">
        <is>
          <t>col_2</t>
        </is>
      </c>
      <c r="B3" s="11" t="inlineStr">
        <is>
          <t>Sapporo (Quaternary Basin &amp; Terrace Deposits) Column</t>
        </is>
      </c>
      <c r="C3" s="11" t="inlineStr">
        <is>
          <t>GSJ_200K_NK_54_14_Quaternary_Basin_and_Terrace_Deposits</t>
        </is>
      </c>
      <c r="D3" s="11" t="inlineStr">
        <is>
          <t>Quaternary Basin &amp; Terrace Deposits</t>
        </is>
      </c>
      <c r="E3" s="11" t="inlineStr">
        <is>
          <t>Pleistocene</t>
        </is>
      </c>
      <c r="F3" s="11" t="inlineStr">
        <is>
          <t>Holocene</t>
        </is>
      </c>
      <c r="G3" s="11" t="n">
        <v>0</v>
      </c>
      <c r="H3" s="11" t="n">
        <v>1</v>
      </c>
      <c r="I3" s="11" t="inlineStr">
        <is>
          <t>POLYGON((141.0 43.0, 142.0 43.0, 142.0 43.666667, 141.0 43.666667, 141.0 43.0))</t>
        </is>
      </c>
      <c r="J3" s="11" t="inlineStr">
        <is>
          <t>POINT(141.5 43.333333499999995)</t>
        </is>
      </c>
      <c r="K3" s="11" t="inlineStr">
        <is>
          <t>GSJ 200k Tectonic Skeleton: Quaternary Basin &amp; Terrace Deposits in 札幌 (NK-54-14)</t>
        </is>
      </c>
    </row>
    <row r="4">
      <c r="A4" s="11" t="inlineStr">
        <is>
          <t>col_3</t>
        </is>
      </c>
      <c r="B4" s="11" t="inlineStr">
        <is>
          <t>Sapporo (Neogene-Paleogene Volcanic Complex) Column</t>
        </is>
      </c>
      <c r="C4" s="11" t="inlineStr">
        <is>
          <t>GSJ_200K_NK_54_14_Neogene-Paleogene_Volcanic_Complex</t>
        </is>
      </c>
      <c r="D4" s="11" t="inlineStr">
        <is>
          <t>Neogene-Paleogene Volcanic Complex</t>
        </is>
      </c>
      <c r="E4" s="11" t="inlineStr">
        <is>
          <t>Chattian</t>
        </is>
      </c>
      <c r="F4" s="11" t="inlineStr">
        <is>
          <t>Tortonian</t>
        </is>
      </c>
      <c r="G4" s="11" t="n">
        <v>0</v>
      </c>
      <c r="H4" s="11" t="n">
        <v>1</v>
      </c>
      <c r="I4" s="11" t="inlineStr">
        <is>
          <t>POLYGON((141.0 43.0, 142.0 43.0, 142.0 43.666667, 141.0 43.666667, 141.0 43.0))</t>
        </is>
      </c>
      <c r="J4" s="11" t="inlineStr">
        <is>
          <t>POINT(141.5 43.333333499999995)</t>
        </is>
      </c>
      <c r="K4" s="11" t="inlineStr">
        <is>
          <t>GSJ 200k Tectonic Skeleton: Neogene-Paleogene Volcanic Complex in 札幌 (NK-54-14)</t>
        </is>
      </c>
    </row>
    <row r="5">
      <c r="A5" s="11" t="inlineStr">
        <is>
          <t>col_4</t>
        </is>
      </c>
      <c r="B5" s="11" t="inlineStr">
        <is>
          <t>Sapporo (Quaternary Volcanic Arc) Column</t>
        </is>
      </c>
      <c r="C5" s="11" t="inlineStr">
        <is>
          <t>GSJ_200K_NK_54_14_Quaternary_Volcanic_Arc</t>
        </is>
      </c>
      <c r="D5" s="11" t="inlineStr">
        <is>
          <t>Quaternary Volcanic Arc</t>
        </is>
      </c>
      <c r="E5" s="11" t="inlineStr">
        <is>
          <t>Pleistocene</t>
        </is>
      </c>
      <c r="F5" s="11" t="inlineStr">
        <is>
          <t>Holocene</t>
        </is>
      </c>
      <c r="G5" s="11" t="n">
        <v>0</v>
      </c>
      <c r="H5" s="11" t="n">
        <v>1</v>
      </c>
      <c r="I5" s="11" t="inlineStr">
        <is>
          <t>POLYGON((141.0 43.0, 142.0 43.0, 142.0 43.666667, 141.0 43.666667, 141.0 43.0))</t>
        </is>
      </c>
      <c r="J5" s="11" t="inlineStr">
        <is>
          <t>POINT(141.5 43.333333499999995)</t>
        </is>
      </c>
      <c r="K5" s="11" t="inlineStr">
        <is>
          <t>GSJ 200k Tectonic Skeleton: Quaternary Volcanic Arc in 札幌 (NK-54-14)</t>
        </is>
      </c>
    </row>
  </sheetData>
  <autoFilter ref="A1:K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</cols>
  <sheetData>
    <row r="1">
      <c r="A1" s="3" t="inlineStr">
        <is>
          <t>ref_id</t>
        </is>
      </c>
      <c r="B1" s="3" t="inlineStr">
        <is>
          <t>title</t>
        </is>
      </c>
      <c r="C1" s="3" t="inlineStr">
        <is>
          <t>authors</t>
        </is>
      </c>
      <c r="D1" s="3" t="inlineStr">
        <is>
          <t>publication</t>
        </is>
      </c>
      <c r="E1" s="3" t="inlineStr">
        <is>
          <t>compilation</t>
        </is>
      </c>
      <c r="F1" s="3" t="inlineStr">
        <is>
          <t>organization</t>
        </is>
      </c>
      <c r="G1" s="3" t="inlineStr">
        <is>
          <t>date</t>
        </is>
      </c>
      <c r="H1" s="3" t="inlineStr">
        <is>
          <t>doi</t>
        </is>
      </c>
      <c r="I1" s="3" t="inlineStr">
        <is>
          <t>url</t>
        </is>
      </c>
      <c r="J1" s="3" t="inlineStr">
        <is>
          <t>comments</t>
        </is>
      </c>
    </row>
    <row r="2">
      <c r="A2" s="11" t="n">
        <v>1</v>
      </c>
      <c r="B2" s="11" t="inlineStr">
        <is>
          <t>1:200,000 Geological Map of Japan: 札幌 (Sapporo)</t>
        </is>
      </c>
      <c r="C2" s="11" t="inlineStr">
        <is>
          <t>Geological Survey of Japan, AIST</t>
        </is>
      </c>
      <c r="D2" s="11" t="inlineStr">
        <is>
          <t>Geological Map of Japan 1:200,000</t>
        </is>
      </c>
      <c r="E2" s="11" t="inlineStr">
        <is>
          <t>GSJ Seamless Geological Map of Japan V2</t>
        </is>
      </c>
      <c r="F2" s="11" t="inlineStr">
        <is>
          <t>Geological Survey of Japan, AIST</t>
        </is>
      </c>
      <c r="G2" s="11" t="inlineStr">
        <is>
          <t>1980</t>
        </is>
      </c>
      <c r="H2" s="11" t="inlineStr"/>
      <c r="I2" s="11" t="inlineStr">
        <is>
          <t>https://www.gsj.jp/Map/JP/geology2.html</t>
        </is>
      </c>
      <c r="J2" s="11" t="inlineStr">
        <is>
          <t>IMW Sheet NK-54-14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>
      <c r="A1" s="3" t="inlineStr">
        <is>
          <t>col_ids</t>
        </is>
      </c>
      <c r="B1" s="3" t="inlineStr">
        <is>
          <t>image_name</t>
        </is>
      </c>
      <c r="C1" s="3" t="inlineStr">
        <is>
          <t>ref_id</t>
        </is>
      </c>
      <c r="D1" s="3" t="inlineStr">
        <is>
          <t>page_no</t>
        </is>
      </c>
      <c r="E1" s="3" t="inlineStr">
        <is>
          <t>fig_no</t>
        </is>
      </c>
      <c r="F1" s="3" t="inlineStr">
        <is>
          <t>description</t>
        </is>
      </c>
      <c r="G1" s="3" t="inlineStr">
        <is>
          <t>comments</t>
        </is>
      </c>
    </row>
    <row r="2">
      <c r="A2" s="11" t="inlineStr"/>
      <c r="B2" s="11" t="inlineStr"/>
      <c r="C2" s="11" t="inlineStr"/>
      <c r="D2" s="11" t="inlineStr"/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3" t="inlineStr">
        <is>
          <t>key</t>
        </is>
      </c>
      <c r="B1" s="3" t="inlineStr">
        <is>
          <t>value</t>
        </is>
      </c>
    </row>
    <row r="2">
      <c r="A2" s="11" t="inlineStr">
        <is>
          <t>project_name</t>
        </is>
      </c>
      <c r="B2" s="11" t="inlineStr">
        <is>
          <t>GSJ Japan 200k Regional Skeleton</t>
        </is>
      </c>
    </row>
    <row r="3">
      <c r="A3" s="11" t="inlineStr">
        <is>
          <t>organization</t>
        </is>
      </c>
      <c r="B3" s="11" t="inlineStr">
        <is>
          <t>Macrostrat Japan Project / GSJ</t>
        </is>
      </c>
    </row>
    <row r="4">
      <c r="A4" s="11" t="inlineStr">
        <is>
          <t>url</t>
        </is>
      </c>
      <c r="B4" s="11" t="inlineStr">
        <is>
          <t>https://macrostrat.org</t>
        </is>
      </c>
    </row>
    <row r="5">
      <c r="A5" s="11" t="inlineStr">
        <is>
          <t>project_id</t>
        </is>
      </c>
      <c r="B5" s="11" t="inlineStr">
        <is>
          <t>GSJ_200K_NK_54_14</t>
        </is>
      </c>
    </row>
    <row r="6">
      <c r="A6" s="11" t="inlineStr">
        <is>
          <t>compile_date</t>
        </is>
      </c>
      <c r="B6" s="11" t="inlineStr">
        <is>
          <t>2026-08-14</t>
        </is>
      </c>
    </row>
    <row r="7">
      <c r="A7" s="11" t="inlineStr">
        <is>
          <t>compiler_name</t>
        </is>
      </c>
      <c r="B7" s="11" t="inlineStr">
        <is>
          <t>MacroStrat Automated Pipeline</t>
        </is>
      </c>
    </row>
    <row r="8">
      <c r="A8" s="11" t="inlineStr">
        <is>
          <t>col_type</t>
        </is>
      </c>
      <c r="B8" s="11" t="inlineStr">
        <is>
          <t>column</t>
        </is>
      </c>
    </row>
    <row r="9">
      <c r="A9" s="11" t="inlineStr">
        <is>
          <t>axis_type</t>
        </is>
      </c>
      <c r="B9" s="11" t="inlineStr">
        <is>
          <t>age</t>
        </is>
      </c>
    </row>
    <row r="10">
      <c r="A10" s="11" t="inlineStr">
        <is>
          <t>timescale</t>
        </is>
      </c>
      <c r="B10" s="11" t="inlineStr">
        <is>
          <t>ICS 2020</t>
        </is>
      </c>
    </row>
    <row r="11">
      <c r="A11" s="11" t="inlineStr">
        <is>
          <t>srid</t>
        </is>
      </c>
      <c r="B11" s="11" t="inlineStr">
        <is>
          <t>4326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3" t="inlineStr">
        <is>
          <t>key</t>
        </is>
      </c>
      <c r="B1" s="3" t="inlineStr">
        <is>
          <t>value</t>
        </is>
      </c>
    </row>
    <row r="2">
      <c r="A2" s="11" t="inlineStr">
        <is>
          <t>sheet_code</t>
        </is>
      </c>
      <c r="B2" s="11" t="inlineStr">
        <is>
          <t>NK-54-14</t>
        </is>
      </c>
    </row>
    <row r="3">
      <c r="A3" s="11" t="inlineStr">
        <is>
          <t>name_ja</t>
        </is>
      </c>
      <c r="B3" s="11" t="inlineStr">
        <is>
          <t>札幌</t>
        </is>
      </c>
    </row>
    <row r="4">
      <c r="A4" s="11" t="inlineStr">
        <is>
          <t>name_en</t>
        </is>
      </c>
      <c r="B4" s="11" t="inlineStr">
        <is>
          <t>Sapporo</t>
        </is>
      </c>
    </row>
    <row r="5">
      <c r="A5" s="11" t="inlineStr">
        <is>
          <t>region</t>
        </is>
      </c>
      <c r="B5" s="11" t="inlineStr">
        <is>
          <t>01_北海道</t>
        </is>
      </c>
    </row>
    <row r="6">
      <c r="A6" s="11" t="inlineStr">
        <is>
          <t>pub_year</t>
        </is>
      </c>
      <c r="B6" s="11" t="inlineStr">
        <is>
          <t>1980</t>
        </is>
      </c>
    </row>
    <row r="7">
      <c r="A7" s="11" t="inlineStr">
        <is>
          <t>bbox</t>
        </is>
      </c>
      <c r="B7" s="11" t="inlineStr">
        <is>
          <t>[43.0, 141.0, 43.666667, 142.0]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</cols>
  <sheetData>
    <row r="1">
      <c r="A1" s="3" t="inlineStr">
        <is>
          <t>interval_name</t>
        </is>
      </c>
      <c r="B1" s="3" t="inlineStr">
        <is>
          <t>b_age</t>
        </is>
      </c>
      <c r="C1" s="3" t="inlineStr">
        <is>
          <t>t_age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3" t="inlineStr">
        <is>
          <t>unit_id</t>
        </is>
      </c>
      <c r="B1" s="3" t="inlineStr">
        <is>
          <t>unit_name</t>
        </is>
      </c>
      <c r="C1" s="3" t="inlineStr">
        <is>
          <t>unit_name_ja</t>
        </is>
      </c>
      <c r="D1" s="3" t="inlineStr">
        <is>
          <t>text</t>
        </is>
      </c>
    </row>
    <row r="2">
      <c r="A2" s="11" t="inlineStr">
        <is>
          <t>m200k_NK-54-14_u001</t>
        </is>
      </c>
      <c r="B2" s="11" t="inlineStr">
        <is>
          <t>Norian Basalt (Sapporo Accretionary)</t>
        </is>
      </c>
      <c r="C2" s="11" t="inlineStr">
        <is>
          <t>古生代 石炭紀 ペンシルバニアン亜紀 後期ミシシッピアン亜紀〜中生代 後期三畳紀 ノーリアン期 玄武岩 海洋 中期-後期ジュラ紀付加体</t>
        </is>
      </c>
      <c r="D2" s="11" t="inlineStr">
        <is>
          <t>古生代 石炭紀 ペンシルバニアン亜紀 後期ミシシッピアン亜紀〜中生代 後期三畳紀 ノーリアン期（Paleozoic Carboniferous Pennsylvanian Serpukhovian - Mesozoic Late Triassic Norian）に形成された玄武岩 海洋 中期-後期ジュラ紀付加体（basalt oceanic Middle to Late Jurassic accretionary complex）。産総研シームレス地質図V2凡例記号: C13-Tr32_vbs_o_J2</t>
        </is>
      </c>
    </row>
    <row r="3">
      <c r="A3" s="11" t="inlineStr">
        <is>
          <t>m200k_NK-54-14_u002</t>
        </is>
      </c>
      <c r="B3" s="11" t="inlineStr">
        <is>
          <t>Oxfordian Sedimentary (Sapporo Accretionary)</t>
        </is>
      </c>
      <c r="C3" s="11" t="inlineStr">
        <is>
          <t>中生代 中期ジュラ紀〜後期ジュラ紀 オックスフォーディアン期 混在岩 中期-後期ジュラ紀付加体</t>
        </is>
      </c>
      <c r="D3" s="11" t="inlineStr">
        <is>
          <t>中生代 中期ジュラ紀〜後期ジュラ紀 オックスフォーディアン期（Mesozoic Jurassic Middle - Late Jurassic Oxfordian）に形成された混在岩 中期-後期ジュラ紀付加体（mixed rock Middle to Late Jurassic accretionary complex）。産総研シームレス地質図V2凡例記号: J2-31_sx_J2</t>
        </is>
      </c>
    </row>
    <row r="4">
      <c r="A4" s="11" t="inlineStr">
        <is>
          <t>m200k_NK-54-14_u003</t>
        </is>
      </c>
      <c r="B4" s="11" t="inlineStr">
        <is>
          <t>Norian Limestone (Sapporo Accretionary)</t>
        </is>
      </c>
      <c r="C4" s="11" t="inlineStr">
        <is>
          <t>古生代 石炭紀 ペンシルバニアン亜紀 後期ミシシッピアン亜紀〜中生代 後期三畳紀 ノーリアン期 海成層 石灰岩 中期-後期ジュラ紀付加体</t>
        </is>
      </c>
      <c r="D4" s="11" t="inlineStr">
        <is>
          <t>古生代 石炭紀 ペンシルバニアン亜紀 後期ミシシッピアン亜紀〜中生代 後期三畳紀 ノーリアン期（Paleozoic Carboniferous Pennsylvanian Serpukhovian - Mesozoic Late Triassic Norian）に形成された海成層 石灰岩 中期-後期ジュラ紀付加体（marine limestone Middle to Late Jurassic accretionary complex）。産総研シームレス地質図V2凡例記号: C13-Tr32_sol_J2</t>
        </is>
      </c>
    </row>
    <row r="5">
      <c r="A5" s="11" t="inlineStr">
        <is>
          <t>m200k_NK-54-14_u004</t>
        </is>
      </c>
      <c r="B5" s="11" t="inlineStr">
        <is>
          <t>Pleistocene Gravel (Sapporo Quaternary)</t>
        </is>
      </c>
      <c r="C5" s="11" t="inlineStr">
        <is>
          <t>新生代 第四紀 後期更新世前期 段丘堆積物</t>
        </is>
      </c>
      <c r="D5" s="11" t="inlineStr">
        <is>
          <t>新生代 第四紀 後期更新世前期（Cenozoic Quaternary early Late Pleistocene）に形成された段丘堆積物（terrace deposits）。産総研シームレス地質図V2凡例記号: Q31_std</t>
        </is>
      </c>
    </row>
    <row r="6">
      <c r="A6" s="11" t="inlineStr">
        <is>
          <t>m200k_NK-54-14_u005</t>
        </is>
      </c>
      <c r="B6" s="11" t="inlineStr">
        <is>
          <t>Holocene Sedimentary (Sapporo Quaternary)</t>
        </is>
      </c>
      <c r="C6" s="11" t="inlineStr">
        <is>
          <t>新生代 第四紀 完新世 谷底平野・山間盆地・河川・海岸平野堆積物</t>
        </is>
      </c>
      <c r="D6" s="11" t="inlineStr">
        <is>
          <t>新生代 第四紀 完新世（Cenozoic Quaternary Holocene）に形成された谷底平野・山間盆地・河川・海岸平野堆積物（valley floor, intermountain basin, river &amp;  coastal plain deposits）。産総研シームレス地質図V2凡例記号: H_sad</t>
        </is>
      </c>
    </row>
    <row r="7">
      <c r="A7" s="11" t="inlineStr">
        <is>
          <t>m200k_NK-54-14_u006</t>
        </is>
      </c>
      <c r="B7" s="11" t="inlineStr">
        <is>
          <t>Pleistocene Sedimentary (Sapporo Quaternary)</t>
        </is>
      </c>
      <c r="C7" s="11" t="inlineStr">
        <is>
          <t>新生代 第四紀 後期更新世 非海成層</t>
        </is>
      </c>
      <c r="D7" s="11" t="inlineStr">
        <is>
          <t>新生代 第四紀 後期更新世（Cenozoic Quaternary Late Pleistocene）に形成された非海成層（non-marine sediments）。産総研シームレス地質図V2凡例記号: Q3_sn</t>
        </is>
      </c>
    </row>
    <row r="8">
      <c r="A8" s="11" t="inlineStr">
        <is>
          <t>m200k_NK-54-14_u007</t>
        </is>
      </c>
      <c r="B8" s="11" t="inlineStr">
        <is>
          <t>Aquitanian Andesite (Sapporo Neogene-Paleogene)</t>
        </is>
      </c>
      <c r="C8" s="11" t="inlineStr">
        <is>
          <t>新生代 古第三紀 漸新世 チャッティアン期〜新第三紀 中新世 アキタニアン期 安山岩・玄武岩質安山岩 溶岩・火砕岩</t>
        </is>
      </c>
      <c r="D8" s="11" t="inlineStr">
        <is>
          <t>新生代 古第三紀 漸新世 チャッティアン期〜新第三紀 中新世 アキタニアン期（Cenozoic Paleogene Oligocene Chattian - Neogene Miocene Aquitanian）に形成された安山岩・玄武岩質安山岩 溶岩・火砕岩（andesite &amp; basaltic andesite lava &amp; pyroclastic rocks）。産総研シームレス地質図V2凡例記号: Pg4_vis_al</t>
        </is>
      </c>
    </row>
    <row r="9">
      <c r="A9" s="11" t="inlineStr">
        <is>
          <t>m200k_NK-54-14_u008</t>
        </is>
      </c>
      <c r="B9" s="11" t="inlineStr">
        <is>
          <t>Tortonian Dacite (Sapporo Neogene-Paleogene)</t>
        </is>
      </c>
      <c r="C9" s="11" t="inlineStr">
        <is>
          <t>新生代 新第三紀 中新世 後期ランギアン期〜トートニアン期 デイサイト・流紋岩 貫入岩</t>
        </is>
      </c>
      <c r="D9" s="11" t="inlineStr">
        <is>
          <t>新生代 新第三紀 中新世 後期ランギアン期〜トートニアン期（Cenozoic Neogene Miocene late Langhian - Tortonian）に形成されたデイサイト・流紋岩 貫入岩（dacite &amp; rhyolite intrusives rocks）。産総研シームレス地質図V2凡例記号: N2_vas_ai</t>
        </is>
      </c>
    </row>
    <row r="10">
      <c r="A10" s="11" t="inlineStr">
        <is>
          <t>m200k_NK-54-14_u009</t>
        </is>
      </c>
      <c r="B10" s="11" t="inlineStr">
        <is>
          <t>Holocene Dacite (Sapporo Quaternary)</t>
        </is>
      </c>
      <c r="C10" s="11" t="inlineStr">
        <is>
          <t>新生代 第四紀 完新世 デイサイト・流紋岩 溶岩・火砕岩</t>
        </is>
      </c>
      <c r="D10" s="11" t="inlineStr">
        <is>
          <t>新生代 第四紀 完新世（Cenozoic Quaternary Holocene）に形成されたデイサイト・流紋岩 溶岩・火砕岩（dacite &amp; rhyolite lava &amp; pyroclastic rocks）。産総研シームレス地質図V2凡例記号: H_vas_al</t>
        </is>
      </c>
    </row>
    <row r="11">
      <c r="A11" s="11" t="inlineStr">
        <is>
          <t>m200k_NK-54-14_u010</t>
        </is>
      </c>
      <c r="B11" s="11" t="inlineStr">
        <is>
          <t>Pleistocene Andesite (Sapporo Quaternary)</t>
        </is>
      </c>
      <c r="C11" s="11" t="inlineStr">
        <is>
          <t>新生代 第四紀 後期更新世 安山岩・玄武岩質安山岩 溶岩・火砕岩</t>
        </is>
      </c>
      <c r="D11" s="11" t="inlineStr">
        <is>
          <t>新生代 第四紀 後期更新世（Cenozoic Quaternary Late Pleistocene）に形成された安山岩・玄武岩質安山岩 溶岩・火砕岩（andesite &amp; basaltic andesite lava &amp; pyroclastic rocks）。産総研シームレス地質図V2凡例記号: Q3_vis_al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2026-08-14T03:40:00Z</dcterms:created>
  <dcterms:modified xmlns:dcterms="http://purl.org/dc/terms/" xmlns:xsi="http://www.w3.org/2001/XMLSchema-instance" xsi:type="dcterms:W3CDTF">2026-08-14T03:40:00Z</dcterms:modified>
</cp:coreProperties>
</file>