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'units_review'!$A$1:$AC$114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m200k_NI-54-31_u001</t>
        </is>
      </c>
      <c r="B2" s="6" t="inlineStr">
        <is>
          <t>col_1</t>
        </is>
      </c>
      <c r="C2" s="6" t="n">
        <v>1</v>
      </c>
      <c r="D2" s="7" t="inlineStr">
        <is>
          <t>Selandian Slate (Kofu Metamorphic)</t>
        </is>
      </c>
      <c r="E2" s="5" t="inlineStr">
        <is>
          <t>Kofu Metamorphic Belt</t>
        </is>
      </c>
      <c r="F2" s="6" t="inlineStr">
        <is>
          <t>Selandian</t>
        </is>
      </c>
      <c r="G2" s="8" t="n">
        <v>59.24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Cretaceous</t>
        </is>
      </c>
      <c r="J2" s="8" t="n">
        <v>143.1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slate</t>
        </is>
      </c>
      <c r="M2" s="5" t="inlineStr">
        <is>
          <t>metamorphic</t>
        </is>
      </c>
      <c r="N2" s="5" t="inlineStr">
        <is>
          <t>metamorphic</t>
        </is>
      </c>
      <c r="O2" s="5" t="inlineStr">
        <is>
          <t>Mesozoic Late Cretaceous - Cenozoic Paleogene Paleocene Selandian; slate biotite zone of low P/T regional metamorphic rocks [Metamorphic Belt]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K2-Pg12_msl_lb</t>
        </is>
      </c>
      <c r="U2" s="5" t="inlineStr"/>
      <c r="V2" s="10" t="inlineStr">
        <is>
          <t>K2-Pg12_msl_lb</t>
        </is>
      </c>
      <c r="W2" s="10" t="inlineStr">
        <is>
          <t>中生代 後期白亜紀〜新生代 古第三紀 暁新世 セランディアン期</t>
        </is>
      </c>
      <c r="X2" s="10" t="inlineStr">
        <is>
          <t>Mesozoic Late Cretaceous - Cenozoic Paleogene Paleocene Selandian</t>
        </is>
      </c>
      <c r="Y2" s="10" t="inlineStr">
        <is>
          <t>粘板岩  低P/T型広域変成岩　黒雲母帯</t>
        </is>
      </c>
      <c r="Z2" s="10" t="inlineStr">
        <is>
          <t>slate biotite zone of low P/T regional metamorphic rocks</t>
        </is>
      </c>
      <c r="AA2" s="10" t="inlineStr">
        <is>
          <t>変成岩</t>
        </is>
      </c>
      <c r="AB2" s="10" t="inlineStr">
        <is>
          <t>Metamorphic rocks</t>
        </is>
      </c>
      <c r="AC2" s="10" t="inlineStr">
        <is>
          <t>Metamorphic Belt</t>
        </is>
      </c>
    </row>
    <row r="3">
      <c r="A3" s="5" t="inlineStr">
        <is>
          <t>m200k_NI-54-31_u006</t>
        </is>
      </c>
      <c r="B3" s="6" t="inlineStr">
        <is>
          <t>col_1</t>
        </is>
      </c>
      <c r="C3" s="6" t="n">
        <v>2</v>
      </c>
      <c r="D3" s="7" t="inlineStr">
        <is>
          <t>Selandian Schist (Kofu Metamorphic)</t>
        </is>
      </c>
      <c r="E3" s="5" t="inlineStr">
        <is>
          <t>Kofu Metamorphic Belt</t>
        </is>
      </c>
      <c r="F3" s="6" t="inlineStr">
        <is>
          <t>Selandian</t>
        </is>
      </c>
      <c r="G3" s="8" t="n">
        <v>59.24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Cretaceous</t>
        </is>
      </c>
      <c r="J3" s="8" t="n">
        <v>143.1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schist</t>
        </is>
      </c>
      <c r="M3" s="5" t="inlineStr">
        <is>
          <t>gneiss</t>
        </is>
      </c>
      <c r="N3" s="5" t="inlineStr">
        <is>
          <t>metamorphic</t>
        </is>
      </c>
      <c r="O3" s="5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K2-Pg12_msmpe_lks</t>
        </is>
      </c>
      <c r="U3" s="5" t="inlineStr"/>
      <c r="V3" s="10" t="inlineStr">
        <is>
          <t>K2-Pg12_msmpe_lks</t>
        </is>
      </c>
      <c r="W3" s="10" t="inlineStr">
        <is>
          <t>中生代 後期白亜紀〜新生代 古第三紀 暁新世 セランディアン期</t>
        </is>
      </c>
      <c r="X3" s="10" t="inlineStr">
        <is>
          <t>Mesozoic Late Cretaceous - Cenozoic Paleogene Paleocene Selandian</t>
        </is>
      </c>
      <c r="Y3" s="10" t="inlineStr">
        <is>
          <t>泥質片岩・泥質グラノフェルス・泥質片麻岩・泥質ミグマタイト 低P/T型広域変成岩　珪線石カリ長石帯</t>
        </is>
      </c>
      <c r="Z3" s="10" t="inlineStr">
        <is>
          <t>pelitic schist, granofels, gneiss &amp; migmatite sillmanite-Kfeldspar zone of low P/T regional metamorphic rocks</t>
        </is>
      </c>
      <c r="AA3" s="10" t="inlineStr">
        <is>
          <t>変成岩</t>
        </is>
      </c>
      <c r="AB3" s="10" t="inlineStr">
        <is>
          <t>Metamorphic rocks</t>
        </is>
      </c>
      <c r="AC3" s="10" t="inlineStr">
        <is>
          <t>Metamorphic Belt</t>
        </is>
      </c>
    </row>
    <row r="4">
      <c r="A4" s="5" t="inlineStr">
        <is>
          <t>m200k_NI-54-31_u008</t>
        </is>
      </c>
      <c r="B4" s="6" t="inlineStr">
        <is>
          <t>col_1</t>
        </is>
      </c>
      <c r="C4" s="6" t="n">
        <v>3</v>
      </c>
      <c r="D4" s="7" t="inlineStr">
        <is>
          <t>Selandian Schist (Kofu Metamorphic)</t>
        </is>
      </c>
      <c r="E4" s="5" t="inlineStr">
        <is>
          <t>Kofu Metamorphic Belt</t>
        </is>
      </c>
      <c r="F4" s="6" t="inlineStr">
        <is>
          <t>Selandian</t>
        </is>
      </c>
      <c r="G4" s="8" t="n">
        <v>59.24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Cretaceous</t>
        </is>
      </c>
      <c r="J4" s="8" t="n">
        <v>143.1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schist</t>
        </is>
      </c>
      <c r="M4" s="5" t="inlineStr">
        <is>
          <t>metamorphic</t>
        </is>
      </c>
      <c r="N4" s="5" t="inlineStr">
        <is>
          <t>metamorphic</t>
        </is>
      </c>
      <c r="O4" s="5" t="inlineStr">
        <is>
          <t>Mesozoic Late Cretaceous - Cenozoic Paleogene Paleocene Selandian; pelitic schist biotite zone of low P/T regional metamorphic rocks [Metamorphic Belt]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K2-Pg12_mscpe_lb</t>
        </is>
      </c>
      <c r="U4" s="5" t="inlineStr"/>
      <c r="V4" s="10" t="inlineStr">
        <is>
          <t>K2-Pg12_mscpe_lb</t>
        </is>
      </c>
      <c r="W4" s="10" t="inlineStr">
        <is>
          <t>中生代 後期白亜紀〜新生代 古第三紀 暁新世 セランディアン期</t>
        </is>
      </c>
      <c r="X4" s="10" t="inlineStr">
        <is>
          <t>Mesozoic Late Cretaceous - Cenozoic Paleogene Paleocene Selandian</t>
        </is>
      </c>
      <c r="Y4" s="10" t="inlineStr">
        <is>
          <t>泥質片岩 低P/T型広域変成岩　黒雲母帯</t>
        </is>
      </c>
      <c r="Z4" s="10" t="inlineStr">
        <is>
          <t>pelitic schist biotite zone of low P/T regional metamorphic rocks</t>
        </is>
      </c>
      <c r="AA4" s="10" t="inlineStr">
        <is>
          <t>変成岩</t>
        </is>
      </c>
      <c r="AB4" s="10" t="inlineStr">
        <is>
          <t>Metamorphic rocks</t>
        </is>
      </c>
      <c r="AC4" s="10" t="inlineStr">
        <is>
          <t>Metamorphic Belt</t>
        </is>
      </c>
    </row>
    <row r="5">
      <c r="A5" s="5" t="inlineStr">
        <is>
          <t>m200k_NI-54-31_u010</t>
        </is>
      </c>
      <c r="B5" s="6" t="inlineStr">
        <is>
          <t>col_1</t>
        </is>
      </c>
      <c r="C5" s="6" t="n">
        <v>4</v>
      </c>
      <c r="D5" s="7" t="inlineStr">
        <is>
          <t>Selandian Marble (Kofu Metamorphic)</t>
        </is>
      </c>
      <c r="E5" s="5" t="inlineStr">
        <is>
          <t>Kofu Metamorphic Belt</t>
        </is>
      </c>
      <c r="F5" s="6" t="inlineStr">
        <is>
          <t>Selandian</t>
        </is>
      </c>
      <c r="G5" s="8" t="n">
        <v>59.24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Cretaceous</t>
        </is>
      </c>
      <c r="J5" s="8" t="n">
        <v>143.1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marble</t>
        </is>
      </c>
      <c r="M5" s="5" t="inlineStr">
        <is>
          <t>metamorphic</t>
        </is>
      </c>
      <c r="N5" s="5" t="inlineStr">
        <is>
          <t>metamorphic</t>
        </is>
      </c>
      <c r="O5" s="5" t="inlineStr">
        <is>
          <t>Mesozoic Late Cretaceous - Cenozoic Paleogene Paleocene Selandian; marble biotite zone of low P/T regional metamorphic rocks [Metamorphic Belt]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K2-Pg12_mrls_lb</t>
        </is>
      </c>
      <c r="U5" s="5" t="inlineStr"/>
      <c r="V5" s="10" t="inlineStr">
        <is>
          <t>K2-Pg12_mrls_lb</t>
        </is>
      </c>
      <c r="W5" s="10" t="inlineStr">
        <is>
          <t>中生代 後期白亜紀〜新生代 古第三紀 暁新世 セランディアン期</t>
        </is>
      </c>
      <c r="X5" s="10" t="inlineStr">
        <is>
          <t>Mesozoic Late Cretaceous - Cenozoic Paleogene Paleocene Selandian</t>
        </is>
      </c>
      <c r="Y5" s="10" t="inlineStr">
        <is>
          <t>大理石 低P/T型広域変成岩　黒雲母帯</t>
        </is>
      </c>
      <c r="Z5" s="10" t="inlineStr">
        <is>
          <t>marble biotite zone of low P/T regional metamorphic rocks</t>
        </is>
      </c>
      <c r="AA5" s="10" t="inlineStr">
        <is>
          <t>変成岩</t>
        </is>
      </c>
      <c r="AB5" s="10" t="inlineStr">
        <is>
          <t>Metamorphic rocks</t>
        </is>
      </c>
      <c r="AC5" s="10" t="inlineStr">
        <is>
          <t>Metamorphic Belt</t>
        </is>
      </c>
    </row>
    <row r="6">
      <c r="A6" s="5" t="inlineStr">
        <is>
          <t>m200k_NI-54-31_u014</t>
        </is>
      </c>
      <c r="B6" s="6" t="inlineStr">
        <is>
          <t>col_1</t>
        </is>
      </c>
      <c r="C6" s="6" t="n">
        <v>5</v>
      </c>
      <c r="D6" s="7" t="inlineStr">
        <is>
          <t>Selandian Metabasalt (Kofu Metamorphic)</t>
        </is>
      </c>
      <c r="E6" s="5" t="inlineStr">
        <is>
          <t>Kofu Metamorphic Belt</t>
        </is>
      </c>
      <c r="F6" s="6" t="inlineStr">
        <is>
          <t>Selandian</t>
        </is>
      </c>
      <c r="G6" s="8" t="n">
        <v>59.24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Cretaceous</t>
        </is>
      </c>
      <c r="J6" s="8" t="n">
        <v>143.1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metabasalt</t>
        </is>
      </c>
      <c r="M6" s="5" t="inlineStr">
        <is>
          <t>metamorphic</t>
        </is>
      </c>
      <c r="N6" s="5" t="inlineStr">
        <is>
          <t>metamorphic</t>
        </is>
      </c>
      <c r="O6" s="5" t="inlineStr">
        <is>
          <t>Mesozoic Late Cretaceous - Cenozoic Paleogene Paleocene Selandian; metabasalt biotite zone of low P/T regional metamorphic rocks [Metamorphic Belt]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K2-Pg12_mrbs_lb</t>
        </is>
      </c>
      <c r="U6" s="5" t="inlineStr"/>
      <c r="V6" s="10" t="inlineStr">
        <is>
          <t>K2-Pg12_mrbs_lb</t>
        </is>
      </c>
      <c r="W6" s="10" t="inlineStr">
        <is>
          <t>中生代 後期白亜紀〜新生代 古第三紀 暁新世 セランディアン期</t>
        </is>
      </c>
      <c r="X6" s="10" t="inlineStr">
        <is>
          <t>Mesozoic Late Cretaceous - Cenozoic Paleogene Paleocene Selandian</t>
        </is>
      </c>
      <c r="Y6" s="10" t="inlineStr">
        <is>
          <t>変成玄武岩 低P/T型広域変成岩　黒雲母帯</t>
        </is>
      </c>
      <c r="Z6" s="10" t="inlineStr">
        <is>
          <t>metabasalt biotite zone of low P/T regional metamorphic rocks</t>
        </is>
      </c>
      <c r="AA6" s="10" t="inlineStr">
        <is>
          <t>変成岩</t>
        </is>
      </c>
      <c r="AB6" s="10" t="inlineStr">
        <is>
          <t>Metamorphic rocks</t>
        </is>
      </c>
      <c r="AC6" s="10" t="inlineStr">
        <is>
          <t>Metamorphic Belt</t>
        </is>
      </c>
    </row>
    <row r="7">
      <c r="A7" s="5" t="inlineStr">
        <is>
          <t>m200k_NI-54-31_u015</t>
        </is>
      </c>
      <c r="B7" s="6" t="inlineStr">
        <is>
          <t>col_1</t>
        </is>
      </c>
      <c r="C7" s="6" t="n">
        <v>6</v>
      </c>
      <c r="D7" s="7" t="inlineStr">
        <is>
          <t>Selandian Granodiorite (Kofu Metamorphic)</t>
        </is>
      </c>
      <c r="E7" s="5" t="inlineStr">
        <is>
          <t>Kofu Metamorphic Belt</t>
        </is>
      </c>
      <c r="F7" s="6" t="inlineStr">
        <is>
          <t>Selandian</t>
        </is>
      </c>
      <c r="G7" s="8" t="n">
        <v>59.24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Cretaceous</t>
        </is>
      </c>
      <c r="J7" s="8" t="n">
        <v>143.1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granodiorite</t>
        </is>
      </c>
      <c r="M7" s="5" t="inlineStr">
        <is>
          <t>mylonite</t>
        </is>
      </c>
      <c r="N7" s="5" t="inlineStr">
        <is>
          <t>metamorphic</t>
        </is>
      </c>
      <c r="O7" s="5" t="inlineStr">
        <is>
          <t>Mesozoic Late Cretaceous - Cenozoic Paleogene Paleocene Selandian; granodiorite mylonite &amp; tonalite mylonite greenschist facies rock of dislocation metamorphic rocks [Metamorphic Belt]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K2-Pg12_mmygd_dgs</t>
        </is>
      </c>
      <c r="U7" s="5" t="inlineStr"/>
      <c r="V7" s="10" t="inlineStr">
        <is>
          <t>K2-Pg12_mmygd_dgs</t>
        </is>
      </c>
      <c r="W7" s="10" t="inlineStr">
        <is>
          <t>中生代 後期白亜紀〜新生代 古第三紀 暁新世 セランディアン期</t>
        </is>
      </c>
      <c r="X7" s="10" t="inlineStr">
        <is>
          <t>Mesozoic Late Cretaceous - Cenozoic Paleogene Paleocene Selandian</t>
        </is>
      </c>
      <c r="Y7" s="10" t="inlineStr">
        <is>
          <t>花崗閃緑岩マイロナイト・トーナル岩マイロナイト 変位変成岩 緑片岩相</t>
        </is>
      </c>
      <c r="Z7" s="10" t="inlineStr">
        <is>
          <t>granodiorite mylonite &amp; tonalite mylonite greenschist facies rock of dislocation metamorphic rocks</t>
        </is>
      </c>
      <c r="AA7" s="10" t="inlineStr">
        <is>
          <t>変成岩</t>
        </is>
      </c>
      <c r="AB7" s="10" t="inlineStr">
        <is>
          <t>Metamorphic rocks</t>
        </is>
      </c>
      <c r="AC7" s="10" t="inlineStr">
        <is>
          <t>Metamorphic Belt</t>
        </is>
      </c>
    </row>
    <row r="8">
      <c r="A8" s="5" t="inlineStr">
        <is>
          <t>m200k_NI-54-31_u016</t>
        </is>
      </c>
      <c r="B8" s="6" t="inlineStr">
        <is>
          <t>col_1</t>
        </is>
      </c>
      <c r="C8" s="6" t="n">
        <v>7</v>
      </c>
      <c r="D8" s="7" t="inlineStr">
        <is>
          <t>Selandian Gneiss (Kofu Metamorphic)</t>
        </is>
      </c>
      <c r="E8" s="5" t="inlineStr">
        <is>
          <t>Kofu Metamorphic Belt</t>
        </is>
      </c>
      <c r="F8" s="6" t="inlineStr">
        <is>
          <t>Selandian</t>
        </is>
      </c>
      <c r="G8" s="8" t="n">
        <v>59.24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Cretaceous</t>
        </is>
      </c>
      <c r="J8" s="8" t="n">
        <v>143.1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gneiss</t>
        </is>
      </c>
      <c r="M8" s="5" t="inlineStr">
        <is>
          <t>migmatite</t>
        </is>
      </c>
      <c r="N8" s="5" t="inlineStr">
        <is>
          <t>metamorphic</t>
        </is>
      </c>
      <c r="O8" s="5" t="inlineStr">
        <is>
          <t>Mesozoic Late Cretaceous - Cenozoic Paleogene Paleocene Selandian; pelitic gneiss &amp; migmatite garnet-cordierite zone of low P/T regional metamorphic rocks [Metamorphic Belt]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K2-Pg12_mgmpe_lgc</t>
        </is>
      </c>
      <c r="U8" s="5" t="inlineStr"/>
      <c r="V8" s="10" t="inlineStr">
        <is>
          <t>K2-Pg12_mgmpe_lgc</t>
        </is>
      </c>
      <c r="W8" s="10" t="inlineStr">
        <is>
          <t>中生代 後期白亜紀〜新生代 古第三紀 暁新世 セランディアン期</t>
        </is>
      </c>
      <c r="X8" s="10" t="inlineStr">
        <is>
          <t>Mesozoic Late Cretaceous - Cenozoic Paleogene Paleocene Selandian</t>
        </is>
      </c>
      <c r="Y8" s="10" t="inlineStr">
        <is>
          <t>泥質片麻岩・泥質ミグマタイト 低P/T型広域変成岩　ざくろ石菫青石帯</t>
        </is>
      </c>
      <c r="Z8" s="10" t="inlineStr">
        <is>
          <t>pelitic gneiss &amp; migmatite garnet-cordierite zone of low P/T regional metamorphic rocks</t>
        </is>
      </c>
      <c r="AA8" s="10" t="inlineStr">
        <is>
          <t>変成岩</t>
        </is>
      </c>
      <c r="AB8" s="10" t="inlineStr">
        <is>
          <t>Metamorphic rocks</t>
        </is>
      </c>
      <c r="AC8" s="10" t="inlineStr">
        <is>
          <t>Metamorphic Belt</t>
        </is>
      </c>
    </row>
    <row r="9">
      <c r="A9" s="5" t="inlineStr">
        <is>
          <t>m200k_NI-54-31_u018</t>
        </is>
      </c>
      <c r="B9" s="6" t="inlineStr">
        <is>
          <t>col_1</t>
        </is>
      </c>
      <c r="C9" s="6" t="n">
        <v>8</v>
      </c>
      <c r="D9" s="7" t="inlineStr">
        <is>
          <t>Santonian Tonalite (Kofu Metamorphic)</t>
        </is>
      </c>
      <c r="E9" s="5" t="inlineStr">
        <is>
          <t>Kofu Metamorphic Belt</t>
        </is>
      </c>
      <c r="F9" s="6" t="inlineStr">
        <is>
          <t>Santonian</t>
        </is>
      </c>
      <c r="G9" s="8" t="n">
        <v>83.59999999999999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Cenomanian</t>
        </is>
      </c>
      <c r="J9" s="8" t="n">
        <v>100.5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tonalite</t>
        </is>
      </c>
      <c r="M9" s="5" t="inlineStr"/>
      <c r="N9" s="5" t="inlineStr">
        <is>
          <t>metamorphic</t>
        </is>
      </c>
      <c r="O9" s="5" t="inlineStr">
        <is>
          <t>Mesozoic Late Cretaceous Cenomanian - Santonian; gneissose granodiolite &amp; tonalite island arc &amp; continental [Metamorphic Belt]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K21_pin_a</t>
        </is>
      </c>
      <c r="U9" s="5" t="inlineStr"/>
      <c r="V9" s="10" t="inlineStr">
        <is>
          <t>K21_pin_a</t>
        </is>
      </c>
      <c r="W9" s="10" t="inlineStr">
        <is>
          <t>中生代 後期白亜紀 セノマニアン期〜サントニアン期</t>
        </is>
      </c>
      <c r="X9" s="10" t="inlineStr">
        <is>
          <t>Mesozoic Late Cretaceous Cenomanian - Santonian</t>
        </is>
      </c>
      <c r="Y9" s="10" t="inlineStr">
        <is>
          <t>花崗閃緑岩・トーナル岩 片麻状 島弧・大陸</t>
        </is>
      </c>
      <c r="Z9" s="10" t="inlineStr">
        <is>
          <t>gneissose granodiolite &amp; tonalite island arc &amp; continental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Metamorphic Belt</t>
        </is>
      </c>
    </row>
    <row r="10">
      <c r="A10" s="5" t="inlineStr">
        <is>
          <t>m200k_NI-54-31_u002</t>
        </is>
      </c>
      <c r="B10" s="6" t="inlineStr">
        <is>
          <t>col_1</t>
        </is>
      </c>
      <c r="C10" s="6" t="n">
        <v>9</v>
      </c>
      <c r="D10" s="7" t="inlineStr">
        <is>
          <t>Selandian Mafic (Kofu Metamorphic)</t>
        </is>
      </c>
      <c r="E10" s="5" t="inlineStr">
        <is>
          <t>Kofu Metamorphic Belt</t>
        </is>
      </c>
      <c r="F10" s="6" t="inlineStr">
        <is>
          <t>Selandian</t>
        </is>
      </c>
      <c r="G10" s="8" t="n">
        <v>59.24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Albian</t>
        </is>
      </c>
      <c r="J10" s="8" t="n">
        <v>113.2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mafic</t>
        </is>
      </c>
      <c r="M10" s="5" t="inlineStr">
        <is>
          <t>schist</t>
        </is>
      </c>
      <c r="N10" s="5" t="inlineStr">
        <is>
          <t>metamorphic</t>
        </is>
      </c>
      <c r="O10" s="5" t="inlineStr">
        <is>
          <t>Mesozoic Early Cretaceous Albian - Cenozoic Paleogene Paleocene Selandian; mafic schist chlorite zone of high P/T regional metamorphic rocks [Metamorphic Belt]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K122-Pg12_mscma_hc</t>
        </is>
      </c>
      <c r="U10" s="5" t="inlineStr"/>
      <c r="V10" s="10" t="inlineStr">
        <is>
          <t>K122-Pg12_mscma_hc</t>
        </is>
      </c>
      <c r="W10" s="10" t="inlineStr">
        <is>
          <t>中生代 前期白亜紀 アルビアン期〜新生代 古第三紀 暁新世 セランディアン期</t>
        </is>
      </c>
      <c r="X10" s="10" t="inlineStr">
        <is>
          <t>Mesozoic Early Cretaceous Albian - Cenozoic Paleogene Paleocene Selandian</t>
        </is>
      </c>
      <c r="Y10" s="10" t="inlineStr">
        <is>
          <t>苦鉄質片岩 高P/T型広域変成岩　緑泥石帯</t>
        </is>
      </c>
      <c r="Z10" s="10" t="inlineStr">
        <is>
          <t>mafic schist chlorite zone of high P/T regional metamorphic rocks</t>
        </is>
      </c>
      <c r="AA10" s="10" t="inlineStr">
        <is>
          <t>変成岩</t>
        </is>
      </c>
      <c r="AB10" s="10" t="inlineStr">
        <is>
          <t>Metamorphic rocks</t>
        </is>
      </c>
      <c r="AC10" s="10" t="inlineStr">
        <is>
          <t>Metamorphic Belt</t>
        </is>
      </c>
    </row>
    <row r="11">
      <c r="A11" s="5" t="inlineStr">
        <is>
          <t>m200k_NI-54-31_u003</t>
        </is>
      </c>
      <c r="B11" s="6" t="inlineStr">
        <is>
          <t>col_1</t>
        </is>
      </c>
      <c r="C11" s="6" t="n">
        <v>10</v>
      </c>
      <c r="D11" s="7" t="inlineStr">
        <is>
          <t>Selandian Schist (Kofu Metamorphic)</t>
        </is>
      </c>
      <c r="E11" s="5" t="inlineStr">
        <is>
          <t>Kofu Metamorphic Belt</t>
        </is>
      </c>
      <c r="F11" s="6" t="inlineStr">
        <is>
          <t>Selandian</t>
        </is>
      </c>
      <c r="G11" s="8" t="n">
        <v>59.24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Albian</t>
        </is>
      </c>
      <c r="J11" s="8" t="n">
        <v>113.2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schist</t>
        </is>
      </c>
      <c r="M11" s="5" t="inlineStr">
        <is>
          <t>metamorphic</t>
        </is>
      </c>
      <c r="N11" s="5" t="inlineStr">
        <is>
          <t>metamorphic</t>
        </is>
      </c>
      <c r="O11" s="5" t="inlineStr">
        <is>
          <t>Mesozoic Early Cretaceous Albian - Cenozoic Paleogene Paleocene Selandian; pelitic schist chlorite zone of high P/T regional metamorphic rocks [Metamorphic Belt]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K122-Pg12_mscpe_hc</t>
        </is>
      </c>
      <c r="U11" s="5" t="inlineStr"/>
      <c r="V11" s="10" t="inlineStr">
        <is>
          <t>K122-Pg12_mscpe_hc</t>
        </is>
      </c>
      <c r="W11" s="10" t="inlineStr">
        <is>
          <t>中生代 前期白亜紀 アルビアン期〜新生代 古第三紀 暁新世 セランディアン期</t>
        </is>
      </c>
      <c r="X11" s="10" t="inlineStr">
        <is>
          <t>Mesozoic Early Cretaceous Albian - Cenozoic Paleogene Paleocene Selandian</t>
        </is>
      </c>
      <c r="Y11" s="10" t="inlineStr">
        <is>
          <t>泥質片岩 高P/T型広域変成岩　緑泥石帯</t>
        </is>
      </c>
      <c r="Z11" s="10" t="inlineStr">
        <is>
          <t>pelitic schist chlorite zone of high P/T regional metamorphic rocks</t>
        </is>
      </c>
      <c r="AA11" s="10" t="inlineStr">
        <is>
          <t>変成岩</t>
        </is>
      </c>
      <c r="AB11" s="10" t="inlineStr">
        <is>
          <t>Metamorphic rocks</t>
        </is>
      </c>
      <c r="AC11" s="10" t="inlineStr">
        <is>
          <t>Metamorphic Belt</t>
        </is>
      </c>
    </row>
    <row r="12">
      <c r="A12" s="5" t="inlineStr">
        <is>
          <t>m200k_NI-54-31_u004</t>
        </is>
      </c>
      <c r="B12" s="6" t="inlineStr">
        <is>
          <t>col_1</t>
        </is>
      </c>
      <c r="C12" s="6" t="n">
        <v>11</v>
      </c>
      <c r="D12" s="7" t="inlineStr">
        <is>
          <t>Selandian Serpentinite (Kofu Metamorphic)</t>
        </is>
      </c>
      <c r="E12" s="5" t="inlineStr">
        <is>
          <t>Kofu Metamorphic Belt</t>
        </is>
      </c>
      <c r="F12" s="6" t="inlineStr">
        <is>
          <t>Selandian</t>
        </is>
      </c>
      <c r="G12" s="8" t="n">
        <v>59.24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Albian</t>
        </is>
      </c>
      <c r="J12" s="8" t="n">
        <v>113.2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serpentinite</t>
        </is>
      </c>
      <c r="M12" s="5" t="inlineStr">
        <is>
          <t>metamorphic</t>
        </is>
      </c>
      <c r="N12" s="5" t="inlineStr">
        <is>
          <t>metamorphic</t>
        </is>
      </c>
      <c r="O12" s="5" t="inlineStr">
        <is>
          <t>Mesozoic Early Cretaceous Albian - Cenozoic Paleogene Paleocene Selandian; serpentinite chlorite zone of high P/T regional metamorphic rocks [Metamorphic Belt]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K122-Pg12_msp_hc</t>
        </is>
      </c>
      <c r="U12" s="5" t="inlineStr"/>
      <c r="V12" s="10" t="inlineStr">
        <is>
          <t>K122-Pg12_msp_hc</t>
        </is>
      </c>
      <c r="W12" s="10" t="inlineStr">
        <is>
          <t>中生代 前期白亜紀 アルビアン期〜新生代 古第三紀 暁新世 セランディアン期</t>
        </is>
      </c>
      <c r="X12" s="10" t="inlineStr">
        <is>
          <t>Mesozoic Early Cretaceous Albian - Cenozoic Paleogene Paleocene Selandian</t>
        </is>
      </c>
      <c r="Y12" s="10" t="inlineStr">
        <is>
          <t>蛇紋岩  高P/T型広域変成岩　緑泥石帯</t>
        </is>
      </c>
      <c r="Z12" s="10" t="inlineStr">
        <is>
          <t>serpentinite chlorite zone of high P/T regional metamorphic rocks</t>
        </is>
      </c>
      <c r="AA12" s="10" t="inlineStr">
        <is>
          <t>変成岩</t>
        </is>
      </c>
      <c r="AB12" s="10" t="inlineStr">
        <is>
          <t>Metamorphic rocks</t>
        </is>
      </c>
      <c r="AC12" s="10" t="inlineStr">
        <is>
          <t>Metamorphic Belt</t>
        </is>
      </c>
    </row>
    <row r="13">
      <c r="A13" s="5" t="inlineStr">
        <is>
          <t>m200k_NI-54-31_u005</t>
        </is>
      </c>
      <c r="B13" s="6" t="inlineStr">
        <is>
          <t>col_1</t>
        </is>
      </c>
      <c r="C13" s="6" t="n">
        <v>12</v>
      </c>
      <c r="D13" s="7" t="inlineStr">
        <is>
          <t>Selandian Schist (Kofu Metamorphic)</t>
        </is>
      </c>
      <c r="E13" s="5" t="inlineStr">
        <is>
          <t>Kofu Metamorphic Belt</t>
        </is>
      </c>
      <c r="F13" s="6" t="inlineStr">
        <is>
          <t>Selandian</t>
        </is>
      </c>
      <c r="G13" s="8" t="n">
        <v>59.24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Albian</t>
        </is>
      </c>
      <c r="J13" s="8" t="n">
        <v>113.2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schist</t>
        </is>
      </c>
      <c r="M13" s="5" t="inlineStr">
        <is>
          <t>metamorphic</t>
        </is>
      </c>
      <c r="N13" s="5" t="inlineStr">
        <is>
          <t>metamorphic</t>
        </is>
      </c>
      <c r="O13" s="5" t="inlineStr">
        <is>
          <t>Mesozoic Early Cretaceous Albian - Cenozoic Paleogene Paleocene Selandian; siliceous schist chlorite zone of high P/T regional metamorphic rocks [Metamorphic Belt]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K122-Pg12_mscsi_hc</t>
        </is>
      </c>
      <c r="U13" s="5" t="inlineStr"/>
      <c r="V13" s="10" t="inlineStr">
        <is>
          <t>K122-Pg12_mscsi_hc</t>
        </is>
      </c>
      <c r="W13" s="10" t="inlineStr">
        <is>
          <t>中生代 前期白亜紀 アルビアン期〜新生代 古第三紀 暁新世 セランディアン期</t>
        </is>
      </c>
      <c r="X13" s="10" t="inlineStr">
        <is>
          <t>Mesozoic Early Cretaceous Albian - Cenozoic Paleogene Paleocene Selandian</t>
        </is>
      </c>
      <c r="Y13" s="10" t="inlineStr">
        <is>
          <t>珪質片岩 高P/T型広域変成岩　緑泥石帯</t>
        </is>
      </c>
      <c r="Z13" s="10" t="inlineStr">
        <is>
          <t>siliceous schist chlorite zone of high P/T regional metamorphic rocks</t>
        </is>
      </c>
      <c r="AA13" s="10" t="inlineStr">
        <is>
          <t>変成岩</t>
        </is>
      </c>
      <c r="AB13" s="10" t="inlineStr">
        <is>
          <t>Metamorphic rocks</t>
        </is>
      </c>
      <c r="AC13" s="10" t="inlineStr">
        <is>
          <t>Metamorphic Belt</t>
        </is>
      </c>
    </row>
    <row r="14">
      <c r="A14" s="5" t="inlineStr">
        <is>
          <t>m200k_NI-54-31_u007</t>
        </is>
      </c>
      <c r="B14" s="6" t="inlineStr">
        <is>
          <t>col_1</t>
        </is>
      </c>
      <c r="C14" s="6" t="n">
        <v>13</v>
      </c>
      <c r="D14" s="7" t="inlineStr">
        <is>
          <t>Selandian Metabasalt (Kofu Metamorphic)</t>
        </is>
      </c>
      <c r="E14" s="5" t="inlineStr">
        <is>
          <t>Kofu Metamorphic Belt</t>
        </is>
      </c>
      <c r="F14" s="6" t="inlineStr">
        <is>
          <t>Selandian</t>
        </is>
      </c>
      <c r="G14" s="8" t="n">
        <v>59.24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Albian</t>
        </is>
      </c>
      <c r="J14" s="8" t="n">
        <v>113.2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metabasalt</t>
        </is>
      </c>
      <c r="M14" s="5" t="inlineStr">
        <is>
          <t>metamorphic</t>
        </is>
      </c>
      <c r="N14" s="5" t="inlineStr">
        <is>
          <t>metamorphic</t>
        </is>
      </c>
      <c r="O14" s="5" t="inlineStr">
        <is>
          <t>Mesozoic Early Cretaceous Albian - Cenozoic Paleogene Paleocene Selandian; metabasalt chlorite zone of high P/T regional metamorphic rocks [Metamorphic Belt]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K122-Pg12_mrbs_hc</t>
        </is>
      </c>
      <c r="U14" s="5" t="inlineStr"/>
      <c r="V14" s="10" t="inlineStr">
        <is>
          <t>K122-Pg12_mrbs_hc</t>
        </is>
      </c>
      <c r="W14" s="10" t="inlineStr">
        <is>
          <t>中生代 前期白亜紀 アルビアン期〜新生代 古第三紀 暁新世 セランディアン期</t>
        </is>
      </c>
      <c r="X14" s="10" t="inlineStr">
        <is>
          <t>Mesozoic Early Cretaceous Albian - Cenozoic Paleogene Paleocene Selandian</t>
        </is>
      </c>
      <c r="Y14" s="10" t="inlineStr">
        <is>
          <t>変成玄武岩 高P/T型広域変成岩　緑泥石帯</t>
        </is>
      </c>
      <c r="Z14" s="10" t="inlineStr">
        <is>
          <t>metabasalt chlorite zone of high P/T regional metamorphic rocks</t>
        </is>
      </c>
      <c r="AA14" s="10" t="inlineStr">
        <is>
          <t>変成岩</t>
        </is>
      </c>
      <c r="AB14" s="10" t="inlineStr">
        <is>
          <t>Metamorphic rocks</t>
        </is>
      </c>
      <c r="AC14" s="10" t="inlineStr">
        <is>
          <t>Metamorphic Belt</t>
        </is>
      </c>
    </row>
    <row r="15">
      <c r="A15" s="5" t="inlineStr">
        <is>
          <t>m200k_NI-54-31_u009</t>
        </is>
      </c>
      <c r="B15" s="6" t="inlineStr">
        <is>
          <t>col_1</t>
        </is>
      </c>
      <c r="C15" s="6" t="n">
        <v>14</v>
      </c>
      <c r="D15" s="7" t="inlineStr">
        <is>
          <t>Selandian Phyllite (Kofu Metamorphic)</t>
        </is>
      </c>
      <c r="E15" s="5" t="inlineStr">
        <is>
          <t>Kofu Metamorphic Belt</t>
        </is>
      </c>
      <c r="F15" s="6" t="inlineStr">
        <is>
          <t>Selandian</t>
        </is>
      </c>
      <c r="G15" s="8" t="n">
        <v>59.24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Albian</t>
        </is>
      </c>
      <c r="J15" s="8" t="n">
        <v>113.2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phyllite</t>
        </is>
      </c>
      <c r="M15" s="5" t="inlineStr">
        <is>
          <t>metamorphic</t>
        </is>
      </c>
      <c r="N15" s="5" t="inlineStr">
        <is>
          <t>metamorphic</t>
        </is>
      </c>
      <c r="O15" s="5" t="inlineStr">
        <is>
          <t>Mesozoic Early Cretaceous Albian - Cenozoic Paleogene Paleocene Selandian; pelitic phyllite chlorite zone of high P/T regional metamorphic rocks [Metamorphic Belt]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K122-Pg12_mpype_hc</t>
        </is>
      </c>
      <c r="U15" s="5" t="inlineStr"/>
      <c r="V15" s="10" t="inlineStr">
        <is>
          <t>K122-Pg12_mpype_hc</t>
        </is>
      </c>
      <c r="W15" s="10" t="inlineStr">
        <is>
          <t>中生代 前期白亜紀 アルビアン期〜新生代 古第三紀 暁新世 セランディアン期</t>
        </is>
      </c>
      <c r="X15" s="10" t="inlineStr">
        <is>
          <t>Mesozoic Early Cretaceous Albian - Cenozoic Paleogene Paleocene Selandian</t>
        </is>
      </c>
      <c r="Y15" s="10" t="inlineStr">
        <is>
          <t>泥質千枚岩 高P/T型広域変成岩　緑泥石帯</t>
        </is>
      </c>
      <c r="Z15" s="10" t="inlineStr">
        <is>
          <t>pelitic phyllite chlorite zone of high P/T regional metamorphic rocks</t>
        </is>
      </c>
      <c r="AA15" s="10" t="inlineStr">
        <is>
          <t>変成岩</t>
        </is>
      </c>
      <c r="AB15" s="10" t="inlineStr">
        <is>
          <t>Metamorphic rocks</t>
        </is>
      </c>
      <c r="AC15" s="10" t="inlineStr">
        <is>
          <t>Metamorphic Belt</t>
        </is>
      </c>
    </row>
    <row r="16">
      <c r="A16" s="5" t="inlineStr">
        <is>
          <t>m200k_NI-54-31_u011</t>
        </is>
      </c>
      <c r="B16" s="6" t="inlineStr">
        <is>
          <t>col_1</t>
        </is>
      </c>
      <c r="C16" s="6" t="n">
        <v>15</v>
      </c>
      <c r="D16" s="7" t="inlineStr">
        <is>
          <t>Selandian Schist (Kofu Metamorphic)</t>
        </is>
      </c>
      <c r="E16" s="5" t="inlineStr">
        <is>
          <t>Kofu Metamorphic Belt</t>
        </is>
      </c>
      <c r="F16" s="6" t="inlineStr">
        <is>
          <t>Selandian</t>
        </is>
      </c>
      <c r="G16" s="8" t="n">
        <v>59.24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Albian</t>
        </is>
      </c>
      <c r="J16" s="8" t="n">
        <v>113.2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schist</t>
        </is>
      </c>
      <c r="M16" s="5" t="inlineStr">
        <is>
          <t>metamorphic</t>
        </is>
      </c>
      <c r="N16" s="5" t="inlineStr">
        <is>
          <t>metamorphic</t>
        </is>
      </c>
      <c r="O16" s="5" t="inlineStr">
        <is>
          <t>Mesozoic Early Cretaceous Albian - Cenozoic Paleogene Paleocene Selandian; pelitic schist garnet zone of high P/T regional metamorphic rocks [Metamorphic Belt]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K122-Pg12_mscpe_hg</t>
        </is>
      </c>
      <c r="U16" s="5" t="inlineStr"/>
      <c r="V16" s="10" t="inlineStr">
        <is>
          <t>K122-Pg12_mscpe_hg</t>
        </is>
      </c>
      <c r="W16" s="10" t="inlineStr">
        <is>
          <t>中生代 前期白亜紀 アルビアン期〜新生代 古第三紀 暁新世 セランディアン期</t>
        </is>
      </c>
      <c r="X16" s="10" t="inlineStr">
        <is>
          <t>Mesozoic Early Cretaceous Albian - Cenozoic Paleogene Paleocene Selandian</t>
        </is>
      </c>
      <c r="Y16" s="10" t="inlineStr">
        <is>
          <t>泥質片岩 高P/T型広域変成岩　ざくろ石帯</t>
        </is>
      </c>
      <c r="Z16" s="10" t="inlineStr">
        <is>
          <t>pelitic schist garnet zone of high P/T regional metamorphic rocks</t>
        </is>
      </c>
      <c r="AA16" s="10" t="inlineStr">
        <is>
          <t>変成岩</t>
        </is>
      </c>
      <c r="AB16" s="10" t="inlineStr">
        <is>
          <t>Metamorphic rocks</t>
        </is>
      </c>
      <c r="AC16" s="10" t="inlineStr">
        <is>
          <t>Metamorphic Belt</t>
        </is>
      </c>
    </row>
    <row r="17">
      <c r="A17" s="5" t="inlineStr">
        <is>
          <t>m200k_NI-54-31_u013</t>
        </is>
      </c>
      <c r="B17" s="6" t="inlineStr">
        <is>
          <t>col_1</t>
        </is>
      </c>
      <c r="C17" s="6" t="n">
        <v>16</v>
      </c>
      <c r="D17" s="7" t="inlineStr">
        <is>
          <t>Selandian Metamorphic (Kofu Metamorphic)</t>
        </is>
      </c>
      <c r="E17" s="5" t="inlineStr">
        <is>
          <t>Kofu Metamorphic Belt</t>
        </is>
      </c>
      <c r="F17" s="6" t="inlineStr">
        <is>
          <t>Selandian</t>
        </is>
      </c>
      <c r="G17" s="8" t="n">
        <v>59.24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Albian</t>
        </is>
      </c>
      <c r="J17" s="8" t="n">
        <v>113.2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metamorphic</t>
        </is>
      </c>
      <c r="M17" s="5" t="inlineStr"/>
      <c r="N17" s="5" t="inlineStr">
        <is>
          <t>metamorphic</t>
        </is>
      </c>
      <c r="O17" s="5" t="inlineStr">
        <is>
          <t>Mesozoic Early Cretaceous Albian - Cenozoic Paleogene Paleocene Selandian; metachert chlorite zone of high P/T regional metamorphic rocks [Metamorphic Belt]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K122-Pg12_mrch_hc</t>
        </is>
      </c>
      <c r="U17" s="5" t="inlineStr"/>
      <c r="V17" s="10" t="inlineStr">
        <is>
          <t>K122-Pg12_mrch_hc</t>
        </is>
      </c>
      <c r="W17" s="10" t="inlineStr">
        <is>
          <t>中生代 前期白亜紀 アルビアン期〜新生代 古第三紀 暁新世 セランディアン期</t>
        </is>
      </c>
      <c r="X17" s="10" t="inlineStr">
        <is>
          <t>Mesozoic Early Cretaceous Albian - Cenozoic Paleogene Paleocene Selandian</t>
        </is>
      </c>
      <c r="Y17" s="10" t="inlineStr">
        <is>
          <t>変成チャート 高P/T型広域変成岩　緑泥石帯</t>
        </is>
      </c>
      <c r="Z17" s="10" t="inlineStr">
        <is>
          <t>metachert chlorite zone of high P/T regional metamorphic rocks</t>
        </is>
      </c>
      <c r="AA17" s="10" t="inlineStr">
        <is>
          <t>変成岩</t>
        </is>
      </c>
      <c r="AB17" s="10" t="inlineStr">
        <is>
          <t>Metamorphic rocks</t>
        </is>
      </c>
      <c r="AC17" s="10" t="inlineStr">
        <is>
          <t>Metamorphic Belt</t>
        </is>
      </c>
    </row>
    <row r="18">
      <c r="A18" s="5" t="inlineStr">
        <is>
          <t>m200k_NI-54-31_u017</t>
        </is>
      </c>
      <c r="B18" s="6" t="inlineStr">
        <is>
          <t>col_1</t>
        </is>
      </c>
      <c r="C18" s="6" t="n">
        <v>17</v>
      </c>
      <c r="D18" s="7" t="inlineStr">
        <is>
          <t>Selandian Marble (Kofu Metamorphic)</t>
        </is>
      </c>
      <c r="E18" s="5" t="inlineStr">
        <is>
          <t>Kofu Metamorphic Belt</t>
        </is>
      </c>
      <c r="F18" s="6" t="inlineStr">
        <is>
          <t>Selandian</t>
        </is>
      </c>
      <c r="G18" s="8" t="n">
        <v>59.24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Albian</t>
        </is>
      </c>
      <c r="J18" s="8" t="n">
        <v>113.2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marble</t>
        </is>
      </c>
      <c r="M18" s="5" t="inlineStr">
        <is>
          <t>metamorphic</t>
        </is>
      </c>
      <c r="N18" s="5" t="inlineStr">
        <is>
          <t>metamorphic</t>
        </is>
      </c>
      <c r="O18" s="5" t="inlineStr">
        <is>
          <t>Mesozoic Early Cretaceous Albian - Cenozoic Paleogene Paleocene Selandian; marble chlorite zone of high P/T regional metamorphic rocks [Metamorphic Belt]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K122-Pg12_mrls_hc</t>
        </is>
      </c>
      <c r="U18" s="5" t="inlineStr"/>
      <c r="V18" s="10" t="inlineStr">
        <is>
          <t>K122-Pg12_mrls_hc</t>
        </is>
      </c>
      <c r="W18" s="10" t="inlineStr">
        <is>
          <t>中生代 前期白亜紀 アルビアン期〜新生代 古第三紀 暁新世 セランディアン期</t>
        </is>
      </c>
      <c r="X18" s="10" t="inlineStr">
        <is>
          <t>Mesozoic Early Cretaceous Albian - Cenozoic Paleogene Paleocene Selandian</t>
        </is>
      </c>
      <c r="Y18" s="10" t="inlineStr">
        <is>
          <t>大理石 高P/T型広域変成岩　緑泥石帯</t>
        </is>
      </c>
      <c r="Z18" s="10" t="inlineStr">
        <is>
          <t>marble chlorite zone of high P/T regional metamorphic rocks</t>
        </is>
      </c>
      <c r="AA18" s="10" t="inlineStr">
        <is>
          <t>変成岩</t>
        </is>
      </c>
      <c r="AB18" s="10" t="inlineStr">
        <is>
          <t>Metamorphic rocks</t>
        </is>
      </c>
      <c r="AC18" s="10" t="inlineStr">
        <is>
          <t>Metamorphic Belt</t>
        </is>
      </c>
    </row>
    <row r="19">
      <c r="A19" s="5" t="inlineStr">
        <is>
          <t>m200k_NI-54-31_u012</t>
        </is>
      </c>
      <c r="B19" s="6" t="inlineStr">
        <is>
          <t>col_1</t>
        </is>
      </c>
      <c r="C19" s="6" t="n">
        <v>18</v>
      </c>
      <c r="D19" s="7" t="inlineStr">
        <is>
          <t>Maastrichtian Tonalite (Kofu Metamorphic)</t>
        </is>
      </c>
      <c r="E19" s="5" t="inlineStr">
        <is>
          <t>Kofu Metamorphic Belt</t>
        </is>
      </c>
      <c r="F19" s="6" t="inlineStr">
        <is>
          <t>Maastrichtian</t>
        </is>
      </c>
      <c r="G19" s="8" t="n">
        <v>66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Campanian</t>
        </is>
      </c>
      <c r="J19" s="8" t="n">
        <v>83.59999999999999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tonalite</t>
        </is>
      </c>
      <c r="M19" s="5" t="inlineStr"/>
      <c r="N19" s="5" t="inlineStr">
        <is>
          <t>metamorphic</t>
        </is>
      </c>
      <c r="O19" s="5" t="inlineStr">
        <is>
          <t>Mesozoic Late Cretaceous Campanian - Maastrichtian; gneissose granodiolite &amp; tonalite island arc &amp; continental [Metamorphic Belt]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K22_pin_a</t>
        </is>
      </c>
      <c r="U19" s="5" t="inlineStr"/>
      <c r="V19" s="10" t="inlineStr">
        <is>
          <t>K22_pin_a</t>
        </is>
      </c>
      <c r="W19" s="10" t="inlineStr">
        <is>
          <t>中生代 後期白亜紀 カンパニアン期〜マーストリヒチアン期</t>
        </is>
      </c>
      <c r="X19" s="10" t="inlineStr">
        <is>
          <t>Mesozoic Late Cretaceous Campanian - Maastrichtian</t>
        </is>
      </c>
      <c r="Y19" s="10" t="inlineStr">
        <is>
          <t>花崗閃緑岩・トーナル岩 片麻状 島弧・大陸</t>
        </is>
      </c>
      <c r="Z19" s="10" t="inlineStr">
        <is>
          <t>gneissose granodiolite &amp; tonalite island arc &amp; continental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Metamorphic Belt</t>
        </is>
      </c>
    </row>
    <row r="20">
      <c r="A20" s="5" t="inlineStr">
        <is>
          <t>m200k_NI-54-31_u019</t>
        </is>
      </c>
      <c r="B20" s="6" t="inlineStr">
        <is>
          <t>col_1</t>
        </is>
      </c>
      <c r="C20" s="6" t="n">
        <v>19</v>
      </c>
      <c r="D20" s="7" t="inlineStr">
        <is>
          <t>Pliocene Mafic (Kofu Metamorphic)</t>
        </is>
      </c>
      <c r="E20" s="5" t="inlineStr">
        <is>
          <t>Kofu Metamorphic Belt</t>
        </is>
      </c>
      <c r="F20" s="6" t="inlineStr">
        <is>
          <t>Pliocene</t>
        </is>
      </c>
      <c r="G20" s="8" t="n">
        <v>2.58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Messinian</t>
        </is>
      </c>
      <c r="J20" s="8" t="n">
        <v>7.246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mafic</t>
        </is>
      </c>
      <c r="M20" s="5" t="inlineStr">
        <is>
          <t>schist</t>
        </is>
      </c>
      <c r="N20" s="5" t="inlineStr">
        <is>
          <t>metamorphic</t>
        </is>
      </c>
      <c r="O20" s="5" t="inlineStr">
        <is>
          <t>Cenozoic Neogene Miocene Messinian - Pliocene; mafic schist greenschist facies rock of low P/T regional metamorphic rocks [Metamorphic Belt]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N3_mscma_lgs</t>
        </is>
      </c>
      <c r="U20" s="5" t="inlineStr"/>
      <c r="V20" s="10" t="inlineStr">
        <is>
          <t>N3_mscma_lgs</t>
        </is>
      </c>
      <c r="W20" s="10" t="inlineStr">
        <is>
          <t>新生代 新第三紀 中新世 メッシニアン期〜鮮新世</t>
        </is>
      </c>
      <c r="X20" s="10" t="inlineStr">
        <is>
          <t>Cenozoic Neogene Miocene Messinian - Pliocene</t>
        </is>
      </c>
      <c r="Y20" s="10" t="inlineStr">
        <is>
          <t>苦鉄質片岩 低P/T型広域変成岩　緑色片岩相</t>
        </is>
      </c>
      <c r="Z20" s="10" t="inlineStr">
        <is>
          <t>mafic schist greenschist facies rock of low P/T regional metamorphic rocks</t>
        </is>
      </c>
      <c r="AA20" s="10" t="inlineStr">
        <is>
          <t>変成岩</t>
        </is>
      </c>
      <c r="AB20" s="10" t="inlineStr">
        <is>
          <t>Metamorphic rocks</t>
        </is>
      </c>
      <c r="AC20" s="10" t="inlineStr">
        <is>
          <t>Metamorphic Belt</t>
        </is>
      </c>
    </row>
    <row r="21">
      <c r="A21" s="5" t="inlineStr">
        <is>
          <t>m200k_NI-54-31_u020</t>
        </is>
      </c>
      <c r="B21" s="6" t="inlineStr">
        <is>
          <t>col_1</t>
        </is>
      </c>
      <c r="C21" s="6" t="n">
        <v>20</v>
      </c>
      <c r="D21" s="7" t="inlineStr">
        <is>
          <t>Pliocene Schist (Kofu Metamorphic)</t>
        </is>
      </c>
      <c r="E21" s="5" t="inlineStr">
        <is>
          <t>Kofu Metamorphic Belt</t>
        </is>
      </c>
      <c r="F21" s="6" t="inlineStr">
        <is>
          <t>Pliocene</t>
        </is>
      </c>
      <c r="G21" s="8" t="n">
        <v>2.58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Messinian</t>
        </is>
      </c>
      <c r="J21" s="8" t="n">
        <v>7.246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schist</t>
        </is>
      </c>
      <c r="M21" s="5" t="inlineStr">
        <is>
          <t>greenschist</t>
        </is>
      </c>
      <c r="N21" s="5" t="inlineStr">
        <is>
          <t>metamorphic</t>
        </is>
      </c>
      <c r="O21" s="5" t="inlineStr">
        <is>
          <t>Cenozoic Neogene Miocene Messinian - Pliocene; felsic schist greenschist facies rock of low P/T regional metamorphic rocks [Metamorphic Belt]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N3_mscfe_lgs</t>
        </is>
      </c>
      <c r="U21" s="5" t="inlineStr"/>
      <c r="V21" s="10" t="inlineStr">
        <is>
          <t>N3_mscfe_lgs</t>
        </is>
      </c>
      <c r="W21" s="10" t="inlineStr">
        <is>
          <t>新生代 新第三紀 中新世 メッシニアン期〜鮮新世</t>
        </is>
      </c>
      <c r="X21" s="10" t="inlineStr">
        <is>
          <t>Cenozoic Neogene Miocene Messinian - Pliocene</t>
        </is>
      </c>
      <c r="Y21" s="10" t="inlineStr">
        <is>
          <t>珪長質片岩 低P/T型広域変成岩　緑色片岩相</t>
        </is>
      </c>
      <c r="Z21" s="10" t="inlineStr">
        <is>
          <t>felsic schist greenschist facies rock of low P/T regional metamorphic rocks</t>
        </is>
      </c>
      <c r="AA21" s="10" t="inlineStr">
        <is>
          <t>変成岩</t>
        </is>
      </c>
      <c r="AB21" s="10" t="inlineStr">
        <is>
          <t>Metamorphic rocks</t>
        </is>
      </c>
      <c r="AC21" s="10" t="inlineStr">
        <is>
          <t>Metamorphic Belt</t>
        </is>
      </c>
    </row>
    <row r="22">
      <c r="A22" s="5" t="inlineStr">
        <is>
          <t>m200k_NI-54-31_u022</t>
        </is>
      </c>
      <c r="B22" s="6" t="inlineStr">
        <is>
          <t>col_2</t>
        </is>
      </c>
      <c r="C22" s="6" t="n">
        <v>1</v>
      </c>
      <c r="D22" s="7" t="inlineStr">
        <is>
          <t>Pleistocene Gravel (Kofu Quaternary)</t>
        </is>
      </c>
      <c r="E22" s="5" t="inlineStr">
        <is>
          <t>Kofu Quaternary Basin &amp; Terrace Deposits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gravel</t>
        </is>
      </c>
      <c r="M22" s="5" t="inlineStr"/>
      <c r="N22" s="5" t="inlineStr">
        <is>
          <t>unknown</t>
        </is>
      </c>
      <c r="O22" s="5" t="inlineStr">
        <is>
          <t>Cenozoic Quaternary middle Late Pleistocene - late Late Pleistocene; terrace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Q32-33_std</t>
        </is>
      </c>
      <c r="U22" s="5" t="inlineStr"/>
      <c r="V22" s="10" t="inlineStr">
        <is>
          <t>Q32-33_std</t>
        </is>
      </c>
      <c r="W22" s="10" t="inlineStr">
        <is>
          <t>新生代 第四紀 後期更新世中期〜後期更新世後期</t>
        </is>
      </c>
      <c r="X22" s="10" t="inlineStr">
        <is>
          <t>Cenozoic Quaternary middle Late Pleistocene - late Late Pleistocene</t>
        </is>
      </c>
      <c r="Y22" s="10" t="inlineStr">
        <is>
          <t>段丘堆積物</t>
        </is>
      </c>
      <c r="Z22" s="10" t="inlineStr">
        <is>
          <t>terrace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m200k_NI-54-31_u025</t>
        </is>
      </c>
      <c r="B23" s="6" t="inlineStr">
        <is>
          <t>col_2</t>
        </is>
      </c>
      <c r="C23" s="6" t="n">
        <v>2</v>
      </c>
      <c r="D23" s="7" t="inlineStr">
        <is>
          <t>Pleistocene Gravel (Kofu Quaternary)</t>
        </is>
      </c>
      <c r="E23" s="5" t="inlineStr">
        <is>
          <t>Kofu Quaternary Basin &amp; Terrace Deposits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gravel</t>
        </is>
      </c>
      <c r="M23" s="5" t="inlineStr"/>
      <c r="N23" s="5" t="inlineStr">
        <is>
          <t>unknown</t>
        </is>
      </c>
      <c r="O23" s="5" t="inlineStr">
        <is>
          <t>Cenozoic Quaternary early Late Pleistocene; terrace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Q31_std</t>
        </is>
      </c>
      <c r="U23" s="5" t="inlineStr"/>
      <c r="V23" s="10" t="inlineStr">
        <is>
          <t>Q31_std</t>
        </is>
      </c>
      <c r="W23" s="10" t="inlineStr">
        <is>
          <t>新生代 第四紀 後期更新世前期</t>
        </is>
      </c>
      <c r="X23" s="10" t="inlineStr">
        <is>
          <t>Cenozoic Quaternary early Late Pleistocene</t>
        </is>
      </c>
      <c r="Y23" s="10" t="inlineStr">
        <is>
          <t>段丘堆積物</t>
        </is>
      </c>
      <c r="Z23" s="10" t="inlineStr">
        <is>
          <t>terrace deposits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m200k_NI-54-31_u027</t>
        </is>
      </c>
      <c r="B24" s="6" t="inlineStr">
        <is>
          <t>col_2</t>
        </is>
      </c>
      <c r="C24" s="6" t="n">
        <v>3</v>
      </c>
      <c r="D24" s="7" t="inlineStr">
        <is>
          <t>Pleistocene Volcanic (Kofu Quaternary)</t>
        </is>
      </c>
      <c r="E24" s="5" t="inlineStr">
        <is>
          <t>Kofu Quaternary Basin &amp; Terrace Deposits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volcanic</t>
        </is>
      </c>
      <c r="M24" s="5" t="inlineStr"/>
      <c r="N24" s="5" t="inlineStr">
        <is>
          <t>volcanic</t>
        </is>
      </c>
      <c r="O24" s="5" t="inlineStr">
        <is>
          <t>Cenozoic Quaternary Middle Pleistocene; volcanic rocks debris avalanche deposits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Q2_v_ad</t>
        </is>
      </c>
      <c r="U24" s="5" t="inlineStr"/>
      <c r="V24" s="10" t="inlineStr">
        <is>
          <t>Q2_v_ad</t>
        </is>
      </c>
      <c r="W24" s="10" t="inlineStr">
        <is>
          <t>新生代 第四紀 チバニアン期</t>
        </is>
      </c>
      <c r="X24" s="10" t="inlineStr">
        <is>
          <t>Cenozoic Quaternary Middle Pleistocene</t>
        </is>
      </c>
      <c r="Y24" s="10" t="inlineStr">
        <is>
          <t>火山岩 岩屑なだれ堆積物</t>
        </is>
      </c>
      <c r="Z24" s="10" t="inlineStr">
        <is>
          <t>volcanic rocks debris avalanche deposits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Quaternary Basin &amp; Terrace Deposits</t>
        </is>
      </c>
    </row>
    <row r="25">
      <c r="A25" s="5" t="inlineStr">
        <is>
          <t>m200k_NI-54-31_u028</t>
        </is>
      </c>
      <c r="B25" s="6" t="inlineStr">
        <is>
          <t>col_2</t>
        </is>
      </c>
      <c r="C25" s="6" t="n">
        <v>4</v>
      </c>
      <c r="D25" s="7" t="inlineStr">
        <is>
          <t>Pleistocene Gravel (Kofu Quaternary)</t>
        </is>
      </c>
      <c r="E25" s="5" t="inlineStr">
        <is>
          <t>Kofu Quaternary Basin &amp; Terrace Deposits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gravel</t>
        </is>
      </c>
      <c r="M25" s="5" t="inlineStr"/>
      <c r="N25" s="5" t="inlineStr">
        <is>
          <t>unknown</t>
        </is>
      </c>
      <c r="O25" s="5" t="inlineStr">
        <is>
          <t>Cenozoic Quaternary late Middle Pleistocene; terrace deposits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Q22_std</t>
        </is>
      </c>
      <c r="U25" s="5" t="inlineStr"/>
      <c r="V25" s="10" t="inlineStr">
        <is>
          <t>Q22_std</t>
        </is>
      </c>
      <c r="W25" s="10" t="inlineStr">
        <is>
          <t>新生代 第四紀 後期チバニアン期</t>
        </is>
      </c>
      <c r="X25" s="10" t="inlineStr">
        <is>
          <t>Cenozoic Quaternary late Middle Pleistocene</t>
        </is>
      </c>
      <c r="Y25" s="10" t="inlineStr">
        <is>
          <t>段丘堆積物</t>
        </is>
      </c>
      <c r="Z25" s="10" t="inlineStr">
        <is>
          <t>terrace deposits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m200k_NI-54-31_u032</t>
        </is>
      </c>
      <c r="B26" s="6" t="inlineStr">
        <is>
          <t>col_2</t>
        </is>
      </c>
      <c r="C26" s="6" t="n">
        <v>5</v>
      </c>
      <c r="D26" s="7" t="inlineStr">
        <is>
          <t>Pleistocene Volcanic (Kofu Quaternary)</t>
        </is>
      </c>
      <c r="E26" s="5" t="inlineStr">
        <is>
          <t>Kofu Quaternary Basin &amp; Terrace Deposits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volcanic</t>
        </is>
      </c>
      <c r="M26" s="5" t="inlineStr"/>
      <c r="N26" s="5" t="inlineStr">
        <is>
          <t>volcanic</t>
        </is>
      </c>
      <c r="O26" s="5" t="inlineStr">
        <is>
          <t>Cenozoic Quaternary Late Pleistocene; volcanic rocks debris avalanche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Q3_v_ad</t>
        </is>
      </c>
      <c r="U26" s="5" t="inlineStr"/>
      <c r="V26" s="10" t="inlineStr">
        <is>
          <t>Q3_v_ad</t>
        </is>
      </c>
      <c r="W26" s="10" t="inlineStr">
        <is>
          <t>新生代 第四紀 後期更新世</t>
        </is>
      </c>
      <c r="X26" s="10" t="inlineStr">
        <is>
          <t>Cenozoic Quaternary Late Pleistocene</t>
        </is>
      </c>
      <c r="Y26" s="10" t="inlineStr">
        <is>
          <t>火山岩 岩屑なだれ堆積物</t>
        </is>
      </c>
      <c r="Z26" s="10" t="inlineStr">
        <is>
          <t>volcanic rocks debris avalanche deposits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Quaternary Basin &amp; Terrace Deposits</t>
        </is>
      </c>
    </row>
    <row r="27">
      <c r="A27" s="5" t="inlineStr">
        <is>
          <t>m200k_NI-54-31_u033</t>
        </is>
      </c>
      <c r="B27" s="6" t="inlineStr">
        <is>
          <t>col_2</t>
        </is>
      </c>
      <c r="C27" s="6" t="n">
        <v>6</v>
      </c>
      <c r="D27" s="7" t="inlineStr">
        <is>
          <t>Pleistocene Sedimentary (Kofu Quaternary)</t>
        </is>
      </c>
      <c r="E27" s="5" t="inlineStr">
        <is>
          <t>Kofu Quaternary Basin &amp; Terrace Deposits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Gelasian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marine</t>
        </is>
      </c>
      <c r="O27" s="5" t="inlineStr">
        <is>
          <t>Cenozoic Quaternary Pleistocene Gelasian - early Middle Pleistocene; brackish sediments or marine &amp; non-marine sediments mixture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Q1-21_sb</t>
        </is>
      </c>
      <c r="U27" s="5" t="inlineStr"/>
      <c r="V27" s="10" t="inlineStr">
        <is>
          <t>Q1-21_sb</t>
        </is>
      </c>
      <c r="W27" s="10" t="inlineStr">
        <is>
          <t>新生代 第四紀 更新世 ジェラシアン期〜前期チバニアン期</t>
        </is>
      </c>
      <c r="X27" s="10" t="inlineStr">
        <is>
          <t>Cenozoic Quaternary Pleistocene Gelasian - early Middle Pleistocene</t>
        </is>
      </c>
      <c r="Y27" s="10" t="inlineStr">
        <is>
          <t>汽水成層ないし海成・非海成混合層</t>
        </is>
      </c>
      <c r="Z27" s="10" t="inlineStr">
        <is>
          <t>brackish sediments or marine &amp; non-marine sediments mixture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m200k_NI-54-31_u023</t>
        </is>
      </c>
      <c r="B28" s="6" t="inlineStr">
        <is>
          <t>col_2</t>
        </is>
      </c>
      <c r="C28" s="6" t="n">
        <v>7</v>
      </c>
      <c r="D28" s="7" t="inlineStr">
        <is>
          <t>Holocene Volcanic (Kofu Quaternary)</t>
        </is>
      </c>
      <c r="E28" s="5" t="inlineStr">
        <is>
          <t>Kofu Quaternary Basin &amp; Terrace Deposits</t>
        </is>
      </c>
      <c r="F28" s="6" t="inlineStr">
        <is>
          <t>Holocene</t>
        </is>
      </c>
      <c r="G28" s="8" t="n">
        <v>0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Gelasian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volcanic</t>
        </is>
      </c>
      <c r="M28" s="5" t="inlineStr"/>
      <c r="N28" s="5" t="inlineStr">
        <is>
          <t>alluvial fan</t>
        </is>
      </c>
      <c r="O28" s="5" t="inlineStr">
        <is>
          <t>Cenozoic Quaternary Pleistocene Gelasian - Holocene; volcanic rocks volcanic fan deposits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Q1-H_v_af</t>
        </is>
      </c>
      <c r="U28" s="5" t="inlineStr"/>
      <c r="V28" s="10" t="inlineStr">
        <is>
          <t>Q1-H_v_af</t>
        </is>
      </c>
      <c r="W28" s="10" t="inlineStr">
        <is>
          <t>新生代 第四紀 更新世 ジェラシアン期〜完新世</t>
        </is>
      </c>
      <c r="X28" s="10" t="inlineStr">
        <is>
          <t>Cenozoic Quaternary Pleistocene Gelasian - Holocene</t>
        </is>
      </c>
      <c r="Y28" s="10" t="inlineStr">
        <is>
          <t>火山岩 火山麓扇状地堆積物</t>
        </is>
      </c>
      <c r="Z28" s="10" t="inlineStr">
        <is>
          <t>volcanic rocks volcanic fan deposits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Quaternary Basin &amp; Terrace Deposits</t>
        </is>
      </c>
    </row>
    <row r="29">
      <c r="A29" s="5" t="inlineStr">
        <is>
          <t>m200k_NI-54-31_u026</t>
        </is>
      </c>
      <c r="B29" s="6" t="inlineStr">
        <is>
          <t>col_2</t>
        </is>
      </c>
      <c r="C29" s="6" t="n">
        <v>8</v>
      </c>
      <c r="D29" s="7" t="inlineStr">
        <is>
          <t>Holocene Sedimentary (Kofu Quaternary)</t>
        </is>
      </c>
      <c r="E29" s="5" t="inlineStr">
        <is>
          <t>Kofu Quaternary Basin &amp; Terrace Deposits</t>
        </is>
      </c>
      <c r="F29" s="6" t="inlineStr">
        <is>
          <t>Holocene</t>
        </is>
      </c>
      <c r="G29" s="8" t="n">
        <v>0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alluvial fan</t>
        </is>
      </c>
      <c r="O29" s="5" t="inlineStr">
        <is>
          <t>Cenozoic Quaternary late Late Pleistocene - Holocene; fan or talus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Q33-H_sfd</t>
        </is>
      </c>
      <c r="U29" s="5" t="inlineStr"/>
      <c r="V29" s="10" t="inlineStr">
        <is>
          <t>Q33-H_sfd</t>
        </is>
      </c>
      <c r="W29" s="10" t="inlineStr">
        <is>
          <t>新生代 第四紀 後期更新世後期〜完新世</t>
        </is>
      </c>
      <c r="X29" s="10" t="inlineStr">
        <is>
          <t>Cenozoic Quaternary late Late Pleistocene - Holocene</t>
        </is>
      </c>
      <c r="Y29" s="10" t="inlineStr">
        <is>
          <t>扇状地・崖錐堆積物</t>
        </is>
      </c>
      <c r="Z29" s="10" t="inlineStr">
        <is>
          <t>fan or talus deposits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m200k_NI-54-31_u029</t>
        </is>
      </c>
      <c r="B30" s="6" t="inlineStr">
        <is>
          <t>col_2</t>
        </is>
      </c>
      <c r="C30" s="6" t="n">
        <v>9</v>
      </c>
      <c r="D30" s="7" t="inlineStr">
        <is>
          <t>Holocene Sedimentary (Kofu Quaternary)</t>
        </is>
      </c>
      <c r="E30" s="5" t="inlineStr">
        <is>
          <t>Kofu Quaternary Basin &amp; Terrace Deposits</t>
        </is>
      </c>
      <c r="F30" s="6" t="inlineStr">
        <is>
          <t>Holocene</t>
        </is>
      </c>
      <c r="G30" s="8" t="n">
        <v>0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Pleistocene</t>
        </is>
      </c>
      <c r="J30" s="8" t="n">
        <v>2.58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sedimentary</t>
        </is>
      </c>
      <c r="M30" s="5" t="inlineStr"/>
      <c r="N30" s="5" t="inlineStr">
        <is>
          <t>unknown</t>
        </is>
      </c>
      <c r="O30" s="5" t="inlineStr">
        <is>
          <t>Cenozoic Quaternary late Middle Pleistocene - Holocene; landslide deposits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Q22-H_sdd</t>
        </is>
      </c>
      <c r="U30" s="5" t="inlineStr"/>
      <c r="V30" s="10" t="inlineStr">
        <is>
          <t>Q22-H_sdd</t>
        </is>
      </c>
      <c r="W30" s="10" t="inlineStr">
        <is>
          <t>新生代 第四紀 後期チバニアン期〜完新世</t>
        </is>
      </c>
      <c r="X30" s="10" t="inlineStr">
        <is>
          <t>Cenozoic Quaternary late Middle Pleistocene - Holocene</t>
        </is>
      </c>
      <c r="Y30" s="10" t="inlineStr">
        <is>
          <t>地すべり堆積物</t>
        </is>
      </c>
      <c r="Z30" s="10" t="inlineStr">
        <is>
          <t>landslide deposits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m200k_NI-54-31_u031</t>
        </is>
      </c>
      <c r="B31" s="6" t="inlineStr">
        <is>
          <t>col_2</t>
        </is>
      </c>
      <c r="C31" s="6" t="n">
        <v>10</v>
      </c>
      <c r="D31" s="7" t="inlineStr">
        <is>
          <t>Holocene Volcanic (Kofu Quaternary)</t>
        </is>
      </c>
      <c r="E31" s="5" t="inlineStr">
        <is>
          <t>Kofu Quaternary Basin &amp; Terrace Deposits</t>
        </is>
      </c>
      <c r="F31" s="6" t="inlineStr">
        <is>
          <t>Holocene</t>
        </is>
      </c>
      <c r="G31" s="8" t="n">
        <v>0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Calabrian</t>
        </is>
      </c>
      <c r="J31" s="8" t="n">
        <v>1.8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volcanic</t>
        </is>
      </c>
      <c r="M31" s="5" t="inlineStr">
        <is>
          <t>ash</t>
        </is>
      </c>
      <c r="N31" s="5" t="inlineStr">
        <is>
          <t>volcanic</t>
        </is>
      </c>
      <c r="O31" s="5" t="inlineStr">
        <is>
          <t>Cenozoic Quaternary Pleistocene Calabrian - Holocene; aeolian volcanic ash soil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Q12-H_se</t>
        </is>
      </c>
      <c r="U31" s="5" t="inlineStr"/>
      <c r="V31" s="10" t="inlineStr">
        <is>
          <t>Q12-H_se</t>
        </is>
      </c>
      <c r="W31" s="10" t="inlineStr">
        <is>
          <t>新生代 第四紀 更新世 カラブリアン期〜完新世</t>
        </is>
      </c>
      <c r="X31" s="10" t="inlineStr">
        <is>
          <t>Cenozoic Quaternary Pleistocene Calabrian - Holocene</t>
        </is>
      </c>
      <c r="Y31" s="10" t="inlineStr">
        <is>
          <t>風成火山灰</t>
        </is>
      </c>
      <c r="Z31" s="10" t="inlineStr">
        <is>
          <t>aeolian volcanic ash soil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Quaternary Basin &amp; Terrace Deposits</t>
        </is>
      </c>
    </row>
    <row r="32">
      <c r="A32" s="5" t="inlineStr">
        <is>
          <t>m200k_NI-54-31_u021</t>
        </is>
      </c>
      <c r="B32" s="6" t="inlineStr">
        <is>
          <t>col_2</t>
        </is>
      </c>
      <c r="C32" s="6" t="n">
        <v>11</v>
      </c>
      <c r="D32" s="7" t="inlineStr">
        <is>
          <t>Holocene Sedimentary (Kofu Quaternary)</t>
        </is>
      </c>
      <c r="E32" s="5" t="inlineStr">
        <is>
          <t>Kofu Quaternary Basin &amp; Terrace Deposits</t>
        </is>
      </c>
      <c r="F32" s="6" t="inlineStr">
        <is>
          <t>Holocene</t>
        </is>
      </c>
      <c r="G32" s="8" t="n">
        <v>0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Holocene</t>
        </is>
      </c>
      <c r="J32" s="8" t="n">
        <v>0.0117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sedimentary</t>
        </is>
      </c>
      <c r="M32" s="5" t="inlineStr"/>
      <c r="N32" s="5" t="inlineStr">
        <is>
          <t>fluvial</t>
        </is>
      </c>
      <c r="O32" s="5" t="inlineStr">
        <is>
          <t>Cenozoic Quaternary Holocene; valley floor, intermountain basin, river &amp;  coastal plain deposits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H_sad</t>
        </is>
      </c>
      <c r="U32" s="5" t="inlineStr"/>
      <c r="V32" s="10" t="inlineStr">
        <is>
          <t>H_sad</t>
        </is>
      </c>
      <c r="W32" s="10" t="inlineStr">
        <is>
          <t>新生代 第四紀 完新世</t>
        </is>
      </c>
      <c r="X32" s="10" t="inlineStr">
        <is>
          <t>Cenozoic Quaternary Holocene</t>
        </is>
      </c>
      <c r="Y32" s="10" t="inlineStr">
        <is>
          <t>谷底平野・山間盆地・河川・海岸平野堆積物</t>
        </is>
      </c>
      <c r="Z32" s="10" t="inlineStr">
        <is>
          <t>valley floor, intermountain basin, river &amp;  coastal plain deposits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Quaternary Basin &amp; Terrace Deposits</t>
        </is>
      </c>
    </row>
    <row r="33">
      <c r="A33" s="5" t="inlineStr">
        <is>
          <t>m200k_NI-54-31_u024</t>
        </is>
      </c>
      <c r="B33" s="6" t="inlineStr">
        <is>
          <t>col_2</t>
        </is>
      </c>
      <c r="C33" s="6" t="n">
        <v>12</v>
      </c>
      <c r="D33" s="7" t="inlineStr">
        <is>
          <t>Holocene Volcanic (Kofu Quaternary)</t>
        </is>
      </c>
      <c r="E33" s="5" t="inlineStr">
        <is>
          <t>Kofu Quaternary Basin &amp; Terrace Deposits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Holocene</t>
        </is>
      </c>
      <c r="J33" s="8" t="n">
        <v>0.0117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volcanic</t>
        </is>
      </c>
      <c r="M33" s="5" t="inlineStr"/>
      <c r="N33" s="5" t="inlineStr">
        <is>
          <t>volcanic</t>
        </is>
      </c>
      <c r="O33" s="5" t="inlineStr">
        <is>
          <t>Cenozoic Quaternary Holocene; volcanic rocks debris avalanche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H_v_ad</t>
        </is>
      </c>
      <c r="U33" s="5" t="inlineStr"/>
      <c r="V33" s="10" t="inlineStr">
        <is>
          <t>H_v_ad</t>
        </is>
      </c>
      <c r="W33" s="10" t="inlineStr">
        <is>
          <t>新生代 第四紀 完新世</t>
        </is>
      </c>
      <c r="X33" s="10" t="inlineStr">
        <is>
          <t>Cenozoic Quaternary Holocene</t>
        </is>
      </c>
      <c r="Y33" s="10" t="inlineStr">
        <is>
          <t>火山岩 岩屑なだれ堆積物</t>
        </is>
      </c>
      <c r="Z33" s="10" t="inlineStr">
        <is>
          <t>volcanic rocks debris avalanche deposits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Quaternary Basin &amp; Terrace Deposits</t>
        </is>
      </c>
    </row>
    <row r="34">
      <c r="A34" s="5" t="inlineStr">
        <is>
          <t>m200k_NI-54-31_u030</t>
        </is>
      </c>
      <c r="B34" s="6" t="inlineStr">
        <is>
          <t>col_2</t>
        </is>
      </c>
      <c r="C34" s="6" t="n">
        <v>13</v>
      </c>
      <c r="D34" s="7" t="inlineStr">
        <is>
          <t>Holocene Sedimentary (Kofu Quaternary)</t>
        </is>
      </c>
      <c r="E34" s="5" t="inlineStr">
        <is>
          <t>Kofu Quaternary Basin &amp; Terrace Deposits</t>
        </is>
      </c>
      <c r="F34" s="6" t="inlineStr">
        <is>
          <t>Holocene</t>
        </is>
      </c>
      <c r="G34" s="8" t="n">
        <v>0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Holocene</t>
        </is>
      </c>
      <c r="J34" s="8" t="n">
        <v>0.0117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unknown</t>
        </is>
      </c>
      <c r="O34" s="5" t="inlineStr">
        <is>
          <t>Cenozoic Quaternary Holocene; marsh deposits [Quaternary Basin &amp; Terrace Deposits]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H_smd</t>
        </is>
      </c>
      <c r="U34" s="5" t="inlineStr"/>
      <c r="V34" s="10" t="inlineStr">
        <is>
          <t>H_smd</t>
        </is>
      </c>
      <c r="W34" s="10" t="inlineStr">
        <is>
          <t>新生代 第四紀 完新世</t>
        </is>
      </c>
      <c r="X34" s="10" t="inlineStr">
        <is>
          <t>Cenozoic Quaternary Holocene</t>
        </is>
      </c>
      <c r="Y34" s="10" t="inlineStr">
        <is>
          <t>湿原・湿地堆積物</t>
        </is>
      </c>
      <c r="Z34" s="10" t="inlineStr">
        <is>
          <t>marsh deposits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Quaternary Basin &amp; Terrace Deposits</t>
        </is>
      </c>
    </row>
    <row r="35">
      <c r="A35" s="5" t="inlineStr">
        <is>
          <t>m200k_NI-54-31_u037</t>
        </is>
      </c>
      <c r="B35" s="6" t="inlineStr">
        <is>
          <t>col_3</t>
        </is>
      </c>
      <c r="C35" s="6" t="n">
        <v>1</v>
      </c>
      <c r="D35" s="7" t="inlineStr">
        <is>
          <t>Gelasian Andesite (Kofu Quaternary)</t>
        </is>
      </c>
      <c r="E35" s="5" t="inlineStr">
        <is>
          <t>Kofu Quaternary Volcanic Arc</t>
        </is>
      </c>
      <c r="F35" s="6" t="inlineStr">
        <is>
          <t>Gelasian</t>
        </is>
      </c>
      <c r="G35" s="8" t="n">
        <v>1.8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Gelasian</t>
        </is>
      </c>
      <c r="J35" s="8" t="n">
        <v>2.58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andesite</t>
        </is>
      </c>
      <c r="M35" s="5" t="inlineStr"/>
      <c r="N35" s="5" t="inlineStr">
        <is>
          <t>volcanic</t>
        </is>
      </c>
      <c r="O35" s="5" t="inlineStr">
        <is>
          <t>Cenozoic Quaternary Pleistocene Gelasian; andesite &amp; basaltic andesite lava &amp; pyroclastic rocks [Quaternary Volcanic Arc]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Q11_vis_al</t>
        </is>
      </c>
      <c r="U35" s="5" t="inlineStr"/>
      <c r="V35" s="10" t="inlineStr">
        <is>
          <t>Q11_vis_al</t>
        </is>
      </c>
      <c r="W35" s="10" t="inlineStr">
        <is>
          <t>新生代 第四紀 更新世 ジェラシアン期</t>
        </is>
      </c>
      <c r="X35" s="10" t="inlineStr">
        <is>
          <t>Cenozoic Quaternary Pleistocene Gelasian</t>
        </is>
      </c>
      <c r="Y35" s="10" t="inlineStr">
        <is>
          <t>安山岩・玄武岩質安山岩 溶岩・火砕岩</t>
        </is>
      </c>
      <c r="Z35" s="10" t="inlineStr">
        <is>
          <t>andesite &amp; basaltic andesite lava &amp; pyroclastic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Quaternary Volcanic Arc</t>
        </is>
      </c>
    </row>
    <row r="36">
      <c r="A36" s="5" t="inlineStr">
        <is>
          <t>m200k_NI-54-31_u035</t>
        </is>
      </c>
      <c r="B36" s="6" t="inlineStr">
        <is>
          <t>col_3</t>
        </is>
      </c>
      <c r="C36" s="6" t="n">
        <v>2</v>
      </c>
      <c r="D36" s="7" t="inlineStr">
        <is>
          <t>Pleistocene Andesite (Kofu Quaternary)</t>
        </is>
      </c>
      <c r="E36" s="5" t="inlineStr">
        <is>
          <t>Kofu Quaternary Volcanic Arc</t>
        </is>
      </c>
      <c r="F36" s="6" t="inlineStr">
        <is>
          <t>Pleistocene</t>
        </is>
      </c>
      <c r="G36" s="8" t="n">
        <v>0.0117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Pleistocene</t>
        </is>
      </c>
      <c r="J36" s="8" t="n">
        <v>2.58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andesite</t>
        </is>
      </c>
      <c r="M36" s="5" t="inlineStr"/>
      <c r="N36" s="5" t="inlineStr">
        <is>
          <t>volcanic</t>
        </is>
      </c>
      <c r="O36" s="5" t="inlineStr">
        <is>
          <t>Cenozoic Quaternary Middle Pleistocene; andesite &amp; basaltic andesite lava &amp; pyroclastic rocks [Quaternary Volcanic Arc]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Q2_vis_al</t>
        </is>
      </c>
      <c r="U36" s="5" t="inlineStr"/>
      <c r="V36" s="10" t="inlineStr">
        <is>
          <t>Q2_vis_al</t>
        </is>
      </c>
      <c r="W36" s="10" t="inlineStr">
        <is>
          <t>新生代 第四紀 チバニアン期</t>
        </is>
      </c>
      <c r="X36" s="10" t="inlineStr">
        <is>
          <t>Cenozoic Quaternary Middle Pleistocene</t>
        </is>
      </c>
      <c r="Y36" s="10" t="inlineStr">
        <is>
          <t>安山岩・玄武岩質安山岩 溶岩・火砕岩</t>
        </is>
      </c>
      <c r="Z36" s="10" t="inlineStr">
        <is>
          <t>andesite &amp; basaltic andesite lava &amp; pyroclastic rocks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Quaternary Volcanic Arc</t>
        </is>
      </c>
    </row>
    <row r="37">
      <c r="A37" s="5" t="inlineStr">
        <is>
          <t>m200k_NI-54-31_u036</t>
        </is>
      </c>
      <c r="B37" s="6" t="inlineStr">
        <is>
          <t>col_3</t>
        </is>
      </c>
      <c r="C37" s="6" t="n">
        <v>3</v>
      </c>
      <c r="D37" s="7" t="inlineStr">
        <is>
          <t>Pleistocene Andesite (Kofu Quaternary)</t>
        </is>
      </c>
      <c r="E37" s="5" t="inlineStr">
        <is>
          <t>Kofu Quaternary Volcanic Arc</t>
        </is>
      </c>
      <c r="F37" s="6" t="inlineStr">
        <is>
          <t>Pleistocene</t>
        </is>
      </c>
      <c r="G37" s="8" t="n">
        <v>0.0117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Pleistocene</t>
        </is>
      </c>
      <c r="J37" s="8" t="n">
        <v>2.58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andesite</t>
        </is>
      </c>
      <c r="M37" s="5" t="inlineStr"/>
      <c r="N37" s="5" t="inlineStr">
        <is>
          <t>volcanic</t>
        </is>
      </c>
      <c r="O37" s="5" t="inlineStr">
        <is>
          <t>Cenozoic Quaternary Late Pleistocene; andesite &amp; basaltic andesite lava &amp; pyroclastic rocks [Quaternary Volcanic Arc]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Q3_vis_al</t>
        </is>
      </c>
      <c r="U37" s="5" t="inlineStr"/>
      <c r="V37" s="10" t="inlineStr">
        <is>
          <t>Q3_vis_al</t>
        </is>
      </c>
      <c r="W37" s="10" t="inlineStr">
        <is>
          <t>新生代 第四紀 後期更新世</t>
        </is>
      </c>
      <c r="X37" s="10" t="inlineStr">
        <is>
          <t>Cenozoic Quaternary Late Pleistocene</t>
        </is>
      </c>
      <c r="Y37" s="10" t="inlineStr">
        <is>
          <t>安山岩・玄武岩質安山岩 溶岩・火砕岩</t>
        </is>
      </c>
      <c r="Z37" s="10" t="inlineStr">
        <is>
          <t>andesite &amp; basaltic andesite lava &amp;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Quaternary Volcanic Arc</t>
        </is>
      </c>
    </row>
    <row r="38">
      <c r="A38" s="5" t="inlineStr">
        <is>
          <t>m200k_NI-54-31_u038</t>
        </is>
      </c>
      <c r="B38" s="6" t="inlineStr">
        <is>
          <t>col_3</t>
        </is>
      </c>
      <c r="C38" s="6" t="n">
        <v>4</v>
      </c>
      <c r="D38" s="7" t="inlineStr">
        <is>
          <t>Pleistocene Dacite (Kofu Quaternary)</t>
        </is>
      </c>
      <c r="E38" s="5" t="inlineStr">
        <is>
          <t>Kofu Quaternary Volcanic Arc</t>
        </is>
      </c>
      <c r="F38" s="6" t="inlineStr">
        <is>
          <t>Pleistocene</t>
        </is>
      </c>
      <c r="G38" s="8" t="n">
        <v>0.0117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Pleistocene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dacite</t>
        </is>
      </c>
      <c r="M38" s="5" t="inlineStr">
        <is>
          <t>rhyolite</t>
        </is>
      </c>
      <c r="N38" s="5" t="inlineStr">
        <is>
          <t>volcanic</t>
        </is>
      </c>
      <c r="O38" s="5" t="inlineStr">
        <is>
          <t>Cenozoic Quaternary Middle Pleistocene; dacite &amp; rhyolite lava &amp; pyroclastic rocks [Quaternary Volcanic Arc]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Q2_vas_al</t>
        </is>
      </c>
      <c r="U38" s="5" t="inlineStr"/>
      <c r="V38" s="10" t="inlineStr">
        <is>
          <t>Q2_vas_al</t>
        </is>
      </c>
      <c r="W38" s="10" t="inlineStr">
        <is>
          <t>新生代 第四紀 チバニアン期</t>
        </is>
      </c>
      <c r="X38" s="10" t="inlineStr">
        <is>
          <t>Cenozoic Quaternary Middle Pleistocene</t>
        </is>
      </c>
      <c r="Y38" s="10" t="inlineStr">
        <is>
          <t>デイサイト・流紋岩 溶岩・火砕岩</t>
        </is>
      </c>
      <c r="Z38" s="10" t="inlineStr">
        <is>
          <t>dacite &amp; rhyolite lava &amp;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Volcanic Arc</t>
        </is>
      </c>
    </row>
    <row r="39">
      <c r="A39" s="5" t="inlineStr">
        <is>
          <t>m200k_NI-54-31_u040</t>
        </is>
      </c>
      <c r="B39" s="6" t="inlineStr">
        <is>
          <t>col_3</t>
        </is>
      </c>
      <c r="C39" s="6" t="n">
        <v>5</v>
      </c>
      <c r="D39" s="7" t="inlineStr">
        <is>
          <t>Pleistocene Basalt (Kofu Quaternary)</t>
        </is>
      </c>
      <c r="E39" s="5" t="inlineStr">
        <is>
          <t>Kofu Quaternary Volcanic Arc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basalt</t>
        </is>
      </c>
      <c r="M39" s="5" t="inlineStr"/>
      <c r="N39" s="5" t="inlineStr">
        <is>
          <t>volcanic</t>
        </is>
      </c>
      <c r="O39" s="5" t="inlineStr">
        <is>
          <t>Cenozoic Quaternary Late Pleistocene; basalt lava &amp; pyroclastic rocks [Quaternary Volcanic Arc]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Q3_vbs_al</t>
        </is>
      </c>
      <c r="U39" s="5" t="inlineStr"/>
      <c r="V39" s="10" t="inlineStr">
        <is>
          <t>Q3_vbs_al</t>
        </is>
      </c>
      <c r="W39" s="10" t="inlineStr">
        <is>
          <t>新生代 第四紀 後期更新世</t>
        </is>
      </c>
      <c r="X39" s="10" t="inlineStr">
        <is>
          <t>Cenozoic Quaternary Late Pleistocene</t>
        </is>
      </c>
      <c r="Y39" s="10" t="inlineStr">
        <is>
          <t>玄武岩 溶岩・火砕岩</t>
        </is>
      </c>
      <c r="Z39" s="10" t="inlineStr">
        <is>
          <t>basalt lava &amp;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Quaternary Volcanic Arc</t>
        </is>
      </c>
    </row>
    <row r="40">
      <c r="A40" s="5" t="inlineStr">
        <is>
          <t>m200k_NI-54-31_u034</t>
        </is>
      </c>
      <c r="B40" s="6" t="inlineStr">
        <is>
          <t>col_3</t>
        </is>
      </c>
      <c r="C40" s="6" t="n">
        <v>6</v>
      </c>
      <c r="D40" s="7" t="inlineStr">
        <is>
          <t>Calabrian Andesite (Kofu Quaternary)</t>
        </is>
      </c>
      <c r="E40" s="5" t="inlineStr">
        <is>
          <t>Kofu Quaternary Volcanic Arc</t>
        </is>
      </c>
      <c r="F40" s="6" t="inlineStr">
        <is>
          <t>Calabrian</t>
        </is>
      </c>
      <c r="G40" s="8" t="n">
        <v>0.774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Calabrian</t>
        </is>
      </c>
      <c r="J40" s="8" t="n">
        <v>1.8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andesite</t>
        </is>
      </c>
      <c r="M40" s="5" t="inlineStr"/>
      <c r="N40" s="5" t="inlineStr">
        <is>
          <t>volcanic</t>
        </is>
      </c>
      <c r="O40" s="5" t="inlineStr">
        <is>
          <t>Cenozoic Quaternary Pleistocene Calabrian; andesite &amp; basaltic andesite lava &amp; pyroclastic rocks [Quaternary Volcanic Arc]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Q12_vis_al</t>
        </is>
      </c>
      <c r="U40" s="5" t="inlineStr"/>
      <c r="V40" s="10" t="inlineStr">
        <is>
          <t>Q12_vis_al</t>
        </is>
      </c>
      <c r="W40" s="10" t="inlineStr">
        <is>
          <t>新生代 第四紀 更新世 カラブリアン期</t>
        </is>
      </c>
      <c r="X40" s="10" t="inlineStr">
        <is>
          <t>Cenozoic Quaternary Pleistocene Calabrian</t>
        </is>
      </c>
      <c r="Y40" s="10" t="inlineStr">
        <is>
          <t>安山岩・玄武岩質安山岩 溶岩・火砕岩</t>
        </is>
      </c>
      <c r="Z40" s="10" t="inlineStr">
        <is>
          <t>andesite &amp; basaltic andesite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Volcanic Arc</t>
        </is>
      </c>
    </row>
    <row r="41">
      <c r="A41" s="5" t="inlineStr">
        <is>
          <t>m200k_NI-54-31_u039</t>
        </is>
      </c>
      <c r="B41" s="6" t="inlineStr">
        <is>
          <t>col_3</t>
        </is>
      </c>
      <c r="C41" s="6" t="n">
        <v>7</v>
      </c>
      <c r="D41" s="7" t="inlineStr">
        <is>
          <t>Holocene Basalt (Kofu Quaternary)</t>
        </is>
      </c>
      <c r="E41" s="5" t="inlineStr">
        <is>
          <t>Kofu Quaternary Volcanic Arc</t>
        </is>
      </c>
      <c r="F41" s="6" t="inlineStr">
        <is>
          <t>Holocene</t>
        </is>
      </c>
      <c r="G41" s="8" t="n">
        <v>0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Holocene</t>
        </is>
      </c>
      <c r="J41" s="8" t="n">
        <v>0.0117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basalt</t>
        </is>
      </c>
      <c r="M41" s="5" t="inlineStr"/>
      <c r="N41" s="5" t="inlineStr">
        <is>
          <t>volcanic</t>
        </is>
      </c>
      <c r="O41" s="5" t="inlineStr">
        <is>
          <t>Cenozoic Quaternary Holocene; basalt lava &amp; pyroclastic rocks [Quaternary Volcanic Arc]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H_vbs_al</t>
        </is>
      </c>
      <c r="U41" s="5" t="inlineStr"/>
      <c r="V41" s="10" t="inlineStr">
        <is>
          <t>H_vbs_al</t>
        </is>
      </c>
      <c r="W41" s="10" t="inlineStr">
        <is>
          <t>新生代 第四紀 完新世</t>
        </is>
      </c>
      <c r="X41" s="10" t="inlineStr">
        <is>
          <t>Cenozoic Quaternary Holocene</t>
        </is>
      </c>
      <c r="Y41" s="10" t="inlineStr">
        <is>
          <t>玄武岩 溶岩・火砕岩</t>
        </is>
      </c>
      <c r="Z41" s="10" t="inlineStr">
        <is>
          <t>basalt lava &amp; pyroclastic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Volcanic Arc</t>
        </is>
      </c>
    </row>
    <row r="42">
      <c r="A42" s="5" t="inlineStr">
        <is>
          <t>m200k_NI-54-31_u041</t>
        </is>
      </c>
      <c r="B42" s="6" t="inlineStr">
        <is>
          <t>col_4</t>
        </is>
      </c>
      <c r="C42" s="6" t="n">
        <v>1</v>
      </c>
      <c r="D42" s="7" t="inlineStr">
        <is>
          <t>Tortonian Dacite (Kofu Neogene-Paleogene)</t>
        </is>
      </c>
      <c r="E42" s="5" t="inlineStr">
        <is>
          <t>Kofu Neogene-Paleogene Volcanic Complex</t>
        </is>
      </c>
      <c r="F42" s="6" t="inlineStr">
        <is>
          <t>Tortonian</t>
        </is>
      </c>
      <c r="G42" s="8" t="n">
        <v>7.246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Langhian</t>
        </is>
      </c>
      <c r="J42" s="8" t="n">
        <v>15.98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dacite</t>
        </is>
      </c>
      <c r="M42" s="5" t="inlineStr">
        <is>
          <t>rhyolite</t>
        </is>
      </c>
      <c r="N42" s="5" t="inlineStr">
        <is>
          <t>volcanic</t>
        </is>
      </c>
      <c r="O42" s="5" t="inlineStr">
        <is>
          <t>Cenozoic Neogene Miocene late Langhian - Tortonian; dacite &amp; rhyolite lava &amp; pyroclastic rocks [Neogene-Paleogene Volcanic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N2_vas_al</t>
        </is>
      </c>
      <c r="U42" s="5" t="inlineStr"/>
      <c r="V42" s="10" t="inlineStr">
        <is>
          <t>N2_vas_al</t>
        </is>
      </c>
      <c r="W42" s="10" t="inlineStr">
        <is>
          <t>新生代 新第三紀 中新世 後期ランギアン期〜トートニアン期</t>
        </is>
      </c>
      <c r="X42" s="10" t="inlineStr">
        <is>
          <t>Cenozoic Neogene Miocene late Langhian - Tortonian</t>
        </is>
      </c>
      <c r="Y42" s="10" t="inlineStr">
        <is>
          <t>デイサイト・流紋岩 溶岩・火砕岩</t>
        </is>
      </c>
      <c r="Z42" s="10" t="inlineStr">
        <is>
          <t>dacite &amp; rhyolite lava &amp;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Neogene-Paleogene Volcanic Complex</t>
        </is>
      </c>
    </row>
    <row r="43">
      <c r="A43" s="5" t="inlineStr">
        <is>
          <t>m200k_NI-54-31_u042</t>
        </is>
      </c>
      <c r="B43" s="6" t="inlineStr">
        <is>
          <t>col_4</t>
        </is>
      </c>
      <c r="C43" s="6" t="n">
        <v>2</v>
      </c>
      <c r="D43" s="7" t="inlineStr">
        <is>
          <t>Tortonian Dacite (Kofu Neogene-Paleogene)</t>
        </is>
      </c>
      <c r="E43" s="5" t="inlineStr">
        <is>
          <t>Kofu Neogene-Paleogene Volcanic Complex</t>
        </is>
      </c>
      <c r="F43" s="6" t="inlineStr">
        <is>
          <t>Tortonian</t>
        </is>
      </c>
      <c r="G43" s="8" t="n">
        <v>7.246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Langhian</t>
        </is>
      </c>
      <c r="J43" s="8" t="n">
        <v>15.98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dacite</t>
        </is>
      </c>
      <c r="M43" s="5" t="inlineStr">
        <is>
          <t>rhyolite</t>
        </is>
      </c>
      <c r="N43" s="5" t="inlineStr">
        <is>
          <t>volcanic</t>
        </is>
      </c>
      <c r="O43" s="5" t="inlineStr">
        <is>
          <t>Cenozoic Neogene Miocene late Langhian - Tortonian; dacite &amp; rhyolite intrusives rocks [Neogene-Paleogene Volcanic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N2_vas_ai</t>
        </is>
      </c>
      <c r="U43" s="5" t="inlineStr"/>
      <c r="V43" s="10" t="inlineStr">
        <is>
          <t>N2_vas_ai</t>
        </is>
      </c>
      <c r="W43" s="10" t="inlineStr">
        <is>
          <t>新生代 新第三紀 中新世 後期ランギアン期〜トートニアン期</t>
        </is>
      </c>
      <c r="X43" s="10" t="inlineStr">
        <is>
          <t>Cenozoic Neogene Miocene late Langhian - Tortonian</t>
        </is>
      </c>
      <c r="Y43" s="10" t="inlineStr">
        <is>
          <t>デイサイト・流紋岩 貫入岩</t>
        </is>
      </c>
      <c r="Z43" s="10" t="inlineStr">
        <is>
          <t>dacite &amp; rhyolite intrusives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Neogene-Paleogene Volcanic Complex</t>
        </is>
      </c>
    </row>
    <row r="44">
      <c r="A44" s="5" t="inlineStr">
        <is>
          <t>m200k_NI-54-31_u044</t>
        </is>
      </c>
      <c r="B44" s="6" t="inlineStr">
        <is>
          <t>col_4</t>
        </is>
      </c>
      <c r="C44" s="6" t="n">
        <v>3</v>
      </c>
      <c r="D44" s="7" t="inlineStr">
        <is>
          <t>Tortonian Andesite (Kofu Neogene-Paleogene)</t>
        </is>
      </c>
      <c r="E44" s="5" t="inlineStr">
        <is>
          <t>Kofu Neogene-Paleogene Volcanic Complex</t>
        </is>
      </c>
      <c r="F44" s="6" t="inlineStr">
        <is>
          <t>Tortonian</t>
        </is>
      </c>
      <c r="G44" s="8" t="n">
        <v>7.246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Langhian</t>
        </is>
      </c>
      <c r="J44" s="8" t="n">
        <v>15.98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andesite</t>
        </is>
      </c>
      <c r="M44" s="5" t="inlineStr"/>
      <c r="N44" s="5" t="inlineStr">
        <is>
          <t>volcanic</t>
        </is>
      </c>
      <c r="O44" s="5" t="inlineStr">
        <is>
          <t>Cenozoic Neogene Miocene late Langhian - Tortonian; andesite &amp; basaltic andesite lava &amp; pyroclastic rocks [Neogene-Paleogene Volcanic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N2_vis_al</t>
        </is>
      </c>
      <c r="U44" s="5" t="inlineStr"/>
      <c r="V44" s="10" t="inlineStr">
        <is>
          <t>N2_vis_al</t>
        </is>
      </c>
      <c r="W44" s="10" t="inlineStr">
        <is>
          <t>新生代 新第三紀 中新世 後期ランギアン期〜トートニアン期</t>
        </is>
      </c>
      <c r="X44" s="10" t="inlineStr">
        <is>
          <t>Cenozoic Neogene Miocene late Langhian - Tortonian</t>
        </is>
      </c>
      <c r="Y44" s="10" t="inlineStr">
        <is>
          <t>安山岩・玄武岩質安山岩 溶岩・火砕岩</t>
        </is>
      </c>
      <c r="Z44" s="10" t="inlineStr">
        <is>
          <t>andesite &amp; basaltic andesite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Neogene-Paleogene Volcanic Complex</t>
        </is>
      </c>
    </row>
    <row r="45">
      <c r="A45" s="5" t="inlineStr">
        <is>
          <t>m200k_NI-54-31_u045</t>
        </is>
      </c>
      <c r="B45" s="6" t="inlineStr">
        <is>
          <t>col_4</t>
        </is>
      </c>
      <c r="C45" s="6" t="n">
        <v>4</v>
      </c>
      <c r="D45" s="7" t="inlineStr">
        <is>
          <t>Tortonian Andesite (Kofu Neogene-Paleogene)</t>
        </is>
      </c>
      <c r="E45" s="5" t="inlineStr">
        <is>
          <t>Kofu Neogene-Paleogene Volcanic Complex</t>
        </is>
      </c>
      <c r="F45" s="6" t="inlineStr">
        <is>
          <t>Tortonian</t>
        </is>
      </c>
      <c r="G45" s="8" t="n">
        <v>7.246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Langhian</t>
        </is>
      </c>
      <c r="J45" s="8" t="n">
        <v>15.98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andesite</t>
        </is>
      </c>
      <c r="M45" s="5" t="inlineStr"/>
      <c r="N45" s="5" t="inlineStr">
        <is>
          <t>volcanic</t>
        </is>
      </c>
      <c r="O45" s="5" t="inlineStr">
        <is>
          <t>Cenozoic Neogene Miocene late Langhian - Tortonian; andesite &amp; basaltic andesite intrusives rocks [Neogene-Paleogene Volcanic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N2_vis_ai</t>
        </is>
      </c>
      <c r="U45" s="5" t="inlineStr"/>
      <c r="V45" s="10" t="inlineStr">
        <is>
          <t>N2_vis_ai</t>
        </is>
      </c>
      <c r="W45" s="10" t="inlineStr">
        <is>
          <t>新生代 新第三紀 中新世 後期ランギアン期〜トートニアン期</t>
        </is>
      </c>
      <c r="X45" s="10" t="inlineStr">
        <is>
          <t>Cenozoic Neogene Miocene late Langhian - Tortonian</t>
        </is>
      </c>
      <c r="Y45" s="10" t="inlineStr">
        <is>
          <t>安山岩・玄武岩質安山岩 貫入岩</t>
        </is>
      </c>
      <c r="Z45" s="10" t="inlineStr">
        <is>
          <t>andesite &amp; basaltic andesite intrusives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Neogene-Paleogene Volcanic Complex</t>
        </is>
      </c>
    </row>
    <row r="46">
      <c r="A46" s="5" t="inlineStr">
        <is>
          <t>m200k_NI-54-31_u043</t>
        </is>
      </c>
      <c r="B46" s="6" t="inlineStr">
        <is>
          <t>col_4</t>
        </is>
      </c>
      <c r="C46" s="6" t="n">
        <v>5</v>
      </c>
      <c r="D46" s="7" t="inlineStr">
        <is>
          <t>Pliocene Andesite (Kofu Neogene-Paleogene)</t>
        </is>
      </c>
      <c r="E46" s="5" t="inlineStr">
        <is>
          <t>Kofu Neogene-Paleogene Volcanic Complex</t>
        </is>
      </c>
      <c r="F46" s="6" t="inlineStr">
        <is>
          <t>Pliocene</t>
        </is>
      </c>
      <c r="G46" s="8" t="n">
        <v>2.58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Messinian</t>
        </is>
      </c>
      <c r="J46" s="8" t="n">
        <v>7.246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andesite</t>
        </is>
      </c>
      <c r="M46" s="5" t="inlineStr"/>
      <c r="N46" s="5" t="inlineStr">
        <is>
          <t>volcanic</t>
        </is>
      </c>
      <c r="O46" s="5" t="inlineStr">
        <is>
          <t>Cenozoic Neogene Miocene Messinian - Pliocene; andesite &amp; basaltic andesite lava &amp; pyroclastic rocks [Neogene-Paleogene Volcanic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N3_vis_al</t>
        </is>
      </c>
      <c r="U46" s="5" t="inlineStr"/>
      <c r="V46" s="10" t="inlineStr">
        <is>
          <t>N3_vis_al</t>
        </is>
      </c>
      <c r="W46" s="10" t="inlineStr">
        <is>
          <t>新生代 新第三紀 中新世 メッシニアン期〜鮮新世</t>
        </is>
      </c>
      <c r="X46" s="10" t="inlineStr">
        <is>
          <t>Cenozoic Neogene Miocene Messinian - Pliocene</t>
        </is>
      </c>
      <c r="Y46" s="10" t="inlineStr">
        <is>
          <t>安山岩・玄武岩質安山岩 溶岩・火砕岩</t>
        </is>
      </c>
      <c r="Z46" s="10" t="inlineStr">
        <is>
          <t>andesite &amp; basaltic andesite lava &amp;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Neogene-Paleogene Volcanic Complex</t>
        </is>
      </c>
    </row>
    <row r="47">
      <c r="A47" s="5" t="inlineStr">
        <is>
          <t>m200k_NI-54-31_u047</t>
        </is>
      </c>
      <c r="B47" s="6" t="inlineStr">
        <is>
          <t>col_5</t>
        </is>
      </c>
      <c r="C47" s="6" t="n">
        <v>1</v>
      </c>
      <c r="D47" s="7" t="inlineStr">
        <is>
          <t>Langhian Sandstone (Kofu Neogene)</t>
        </is>
      </c>
      <c r="E47" s="5" t="inlineStr">
        <is>
          <t>Kofu Neogene Sedimentary Basin</t>
        </is>
      </c>
      <c r="F47" s="6" t="inlineStr">
        <is>
          <t>Langhian</t>
        </is>
      </c>
      <c r="G47" s="8" t="n">
        <v>13.82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Burdigalian</t>
        </is>
      </c>
      <c r="J47" s="8" t="n">
        <v>20.45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>
        <is>
          <t>mudstone</t>
        </is>
      </c>
      <c r="N47" s="5" t="inlineStr">
        <is>
          <t>marine</t>
        </is>
      </c>
      <c r="O47" s="5" t="inlineStr">
        <is>
          <t>Cenozoic Neogene Miocene Burdigalian - early Langhian; marine alternation of sandstone &amp; mudstone [Neogene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N1_sosma</t>
        </is>
      </c>
      <c r="U47" s="5" t="inlineStr"/>
      <c r="V47" s="10" t="inlineStr">
        <is>
          <t>N1_sosma</t>
        </is>
      </c>
      <c r="W47" s="10" t="inlineStr">
        <is>
          <t>新生代 新第三紀 中新世 バーディガリアン期〜前期ランギアン期</t>
        </is>
      </c>
      <c r="X47" s="10" t="inlineStr">
        <is>
          <t>Cenozoic Neogene Miocene Burdigalian - early Langhian</t>
        </is>
      </c>
      <c r="Y47" s="10" t="inlineStr">
        <is>
          <t>海成層 砂岩泥岩互層</t>
        </is>
      </c>
      <c r="Z47" s="10" t="inlineStr">
        <is>
          <t>marine alternation of sandstone &amp; mudstone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Neogene Sedimentary Basin</t>
        </is>
      </c>
    </row>
    <row r="48">
      <c r="A48" s="5" t="inlineStr">
        <is>
          <t>m200k_NI-54-31_u048</t>
        </is>
      </c>
      <c r="B48" s="6" t="inlineStr">
        <is>
          <t>col_5</t>
        </is>
      </c>
      <c r="C48" s="6" t="n">
        <v>2</v>
      </c>
      <c r="D48" s="7" t="inlineStr">
        <is>
          <t>Langhian Conglomerate (Kofu Neogene)</t>
        </is>
      </c>
      <c r="E48" s="5" t="inlineStr">
        <is>
          <t>Kofu Neogene Sedimentary Basin</t>
        </is>
      </c>
      <c r="F48" s="6" t="inlineStr">
        <is>
          <t>Langhian</t>
        </is>
      </c>
      <c r="G48" s="8" t="n">
        <v>13.82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Burdigalian</t>
        </is>
      </c>
      <c r="J48" s="8" t="n">
        <v>20.45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conglomerate</t>
        </is>
      </c>
      <c r="M48" s="5" t="inlineStr"/>
      <c r="N48" s="5" t="inlineStr">
        <is>
          <t>marine</t>
        </is>
      </c>
      <c r="O48" s="5" t="inlineStr">
        <is>
          <t>Cenozoic Neogene Miocene Burdigalian - early Langhian; marine conglomerate [Neogene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N1_soc</t>
        </is>
      </c>
      <c r="U48" s="5" t="inlineStr"/>
      <c r="V48" s="10" t="inlineStr">
        <is>
          <t>N1_soc</t>
        </is>
      </c>
      <c r="W48" s="10" t="inlineStr">
        <is>
          <t>新生代 新第三紀 中新世 バーディガリアン期〜前期ランギアン期</t>
        </is>
      </c>
      <c r="X48" s="10" t="inlineStr">
        <is>
          <t>Cenozoic Neogene Miocene Burdigalian - early Langhian</t>
        </is>
      </c>
      <c r="Y48" s="10" t="inlineStr">
        <is>
          <t>海成層 礫岩</t>
        </is>
      </c>
      <c r="Z48" s="10" t="inlineStr">
        <is>
          <t>marine conglomerate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Neogene Sedimentary Basin</t>
        </is>
      </c>
    </row>
    <row r="49">
      <c r="A49" s="5" t="inlineStr">
        <is>
          <t>m200k_NI-54-31_u049</t>
        </is>
      </c>
      <c r="B49" s="6" t="inlineStr">
        <is>
          <t>col_5</t>
        </is>
      </c>
      <c r="C49" s="6" t="n">
        <v>3</v>
      </c>
      <c r="D49" s="7" t="inlineStr">
        <is>
          <t>Langhian Conglomerate (Kofu Neogene)</t>
        </is>
      </c>
      <c r="E49" s="5" t="inlineStr">
        <is>
          <t>Kofu Neogene Sedimentary Basin</t>
        </is>
      </c>
      <c r="F49" s="6" t="inlineStr">
        <is>
          <t>Langhian</t>
        </is>
      </c>
      <c r="G49" s="8" t="n">
        <v>13.82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Burdigalian</t>
        </is>
      </c>
      <c r="J49" s="8" t="n">
        <v>20.45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conglomerate</t>
        </is>
      </c>
      <c r="M49" s="5" t="inlineStr"/>
      <c r="N49" s="5" t="inlineStr">
        <is>
          <t>marine</t>
        </is>
      </c>
      <c r="O49" s="5" t="inlineStr">
        <is>
          <t>Cenozoic Neogene Miocene Burdigalian - early Langhian; brackish, or marine &amp; non-marine  mixture conglomerate [Neogene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N1_sbc</t>
        </is>
      </c>
      <c r="U49" s="5" t="inlineStr"/>
      <c r="V49" s="10" t="inlineStr">
        <is>
          <t>N1_sbc</t>
        </is>
      </c>
      <c r="W49" s="10" t="inlineStr">
        <is>
          <t>新生代 新第三紀 中新世 バーディガリアン期〜前期ランギアン期</t>
        </is>
      </c>
      <c r="X49" s="10" t="inlineStr">
        <is>
          <t>Cenozoic Neogene Miocene Burdigalian - early Langhian</t>
        </is>
      </c>
      <c r="Y49" s="10" t="inlineStr">
        <is>
          <t>汽水成層ないし海成・非海成混合層 礫岩</t>
        </is>
      </c>
      <c r="Z49" s="10" t="inlineStr">
        <is>
          <t>brackish, or marine &amp; non-marine  mixture conglomerate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Neogene Sedimentary Basin</t>
        </is>
      </c>
    </row>
    <row r="50">
      <c r="A50" s="5" t="inlineStr">
        <is>
          <t>m200k_NI-54-31_u051</t>
        </is>
      </c>
      <c r="B50" s="6" t="inlineStr">
        <is>
          <t>col_5</t>
        </is>
      </c>
      <c r="C50" s="6" t="n">
        <v>4</v>
      </c>
      <c r="D50" s="7" t="inlineStr">
        <is>
          <t>Serravallian Tonalite (Kofu Neogene)</t>
        </is>
      </c>
      <c r="E50" s="5" t="inlineStr">
        <is>
          <t>Kofu Neogene Sedimentary Basin</t>
        </is>
      </c>
      <c r="F50" s="6" t="inlineStr">
        <is>
          <t>Serravallian</t>
        </is>
      </c>
      <c r="G50" s="8" t="n">
        <v>11.63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Langhian</t>
        </is>
      </c>
      <c r="J50" s="8" t="n">
        <v>15.98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tonalite</t>
        </is>
      </c>
      <c r="M50" s="5" t="inlineStr"/>
      <c r="N50" s="5" t="inlineStr">
        <is>
          <t>unknown</t>
        </is>
      </c>
      <c r="O50" s="5" t="inlineStr">
        <is>
          <t>Cenozoic Neogene Miocene late Langhian - early Serravallian; mssive granodiolite &amp; tonalite island arc &amp; continental [Neogene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N21_pim_a</t>
        </is>
      </c>
      <c r="U50" s="5" t="inlineStr"/>
      <c r="V50" s="10" t="inlineStr">
        <is>
          <t>N21_pim_a</t>
        </is>
      </c>
      <c r="W50" s="10" t="inlineStr">
        <is>
          <t>新生代 新第三紀 中新世 後期ランギアン期〜前期サーラバリアン期</t>
        </is>
      </c>
      <c r="X50" s="10" t="inlineStr">
        <is>
          <t>Cenozoic Neogene Miocene late Langhian - early Serravallian</t>
        </is>
      </c>
      <c r="Y50" s="10" t="inlineStr">
        <is>
          <t>花崗閃緑岩・トーナル岩 塊状 島弧・大陸</t>
        </is>
      </c>
      <c r="Z50" s="10" t="inlineStr">
        <is>
          <t>mssive granodiolite &amp; tonalite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Neogene Sedimentary Basin</t>
        </is>
      </c>
    </row>
    <row r="51">
      <c r="A51" s="5" t="inlineStr">
        <is>
          <t>m200k_NI-54-31_u052</t>
        </is>
      </c>
      <c r="B51" s="6" t="inlineStr">
        <is>
          <t>col_5</t>
        </is>
      </c>
      <c r="C51" s="6" t="n">
        <v>5</v>
      </c>
      <c r="D51" s="7" t="inlineStr">
        <is>
          <t>Tortonian Sandstone (Kofu Neogene)</t>
        </is>
      </c>
      <c r="E51" s="5" t="inlineStr">
        <is>
          <t>Kofu Neogene Sedimentary Basin</t>
        </is>
      </c>
      <c r="F51" s="6" t="inlineStr">
        <is>
          <t>Tortonian</t>
        </is>
      </c>
      <c r="G51" s="8" t="n">
        <v>7.246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Langhian</t>
        </is>
      </c>
      <c r="J51" s="8" t="n">
        <v>15.98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sandstone</t>
        </is>
      </c>
      <c r="M51" s="5" t="inlineStr">
        <is>
          <t>mudstone</t>
        </is>
      </c>
      <c r="N51" s="5" t="inlineStr">
        <is>
          <t>marine</t>
        </is>
      </c>
      <c r="O51" s="5" t="inlineStr">
        <is>
          <t>Cenozoic Neogene Miocene late Langhian - Tortonian; marine alternation of sandstone &amp; mudstone [Neogene Sedimentary Basin]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N2_sosma</t>
        </is>
      </c>
      <c r="U51" s="5" t="inlineStr"/>
      <c r="V51" s="10" t="inlineStr">
        <is>
          <t>N2_sosma</t>
        </is>
      </c>
      <c r="W51" s="10" t="inlineStr">
        <is>
          <t>新生代 新第三紀 中新世 後期ランギアン期〜トートニアン期</t>
        </is>
      </c>
      <c r="X51" s="10" t="inlineStr">
        <is>
          <t>Cenozoic Neogene Miocene late Langhian - Tortonian</t>
        </is>
      </c>
      <c r="Y51" s="10" t="inlineStr">
        <is>
          <t>海成層 砂岩泥岩互層</t>
        </is>
      </c>
      <c r="Z51" s="10" t="inlineStr">
        <is>
          <t>marine alternation of sandstone &amp; mudstone</t>
        </is>
      </c>
      <c r="AA51" s="10" t="inlineStr">
        <is>
          <t>堆積岩</t>
        </is>
      </c>
      <c r="AB51" s="10" t="inlineStr">
        <is>
          <t>Sedimentary rocks</t>
        </is>
      </c>
      <c r="AC51" s="10" t="inlineStr">
        <is>
          <t>Neogene Sedimentary Basin</t>
        </is>
      </c>
    </row>
    <row r="52">
      <c r="A52" s="5" t="inlineStr">
        <is>
          <t>m200k_NI-54-31_u054</t>
        </is>
      </c>
      <c r="B52" s="6" t="inlineStr">
        <is>
          <t>col_5</t>
        </is>
      </c>
      <c r="C52" s="6" t="n">
        <v>6</v>
      </c>
      <c r="D52" s="7" t="inlineStr">
        <is>
          <t>Tortonian Conglomerate (Kofu Neogene)</t>
        </is>
      </c>
      <c r="E52" s="5" t="inlineStr">
        <is>
          <t>Kofu Neogene Sedimentary Basin</t>
        </is>
      </c>
      <c r="F52" s="6" t="inlineStr">
        <is>
          <t>Tortonian</t>
        </is>
      </c>
      <c r="G52" s="8" t="n">
        <v>7.246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Langhian</t>
        </is>
      </c>
      <c r="J52" s="8" t="n">
        <v>15.98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conglomerate</t>
        </is>
      </c>
      <c r="M52" s="5" t="inlineStr"/>
      <c r="N52" s="5" t="inlineStr">
        <is>
          <t>marine</t>
        </is>
      </c>
      <c r="O52" s="5" t="inlineStr">
        <is>
          <t>Cenozoic Neogene Miocene late Langhian - Tortonian; marine conglomerate [Neogene Sedimentary Basin]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N2_soc</t>
        </is>
      </c>
      <c r="U52" s="5" t="inlineStr"/>
      <c r="V52" s="10" t="inlineStr">
        <is>
          <t>N2_soc</t>
        </is>
      </c>
      <c r="W52" s="10" t="inlineStr">
        <is>
          <t>新生代 新第三紀 中新世 後期ランギアン期〜トートニアン期</t>
        </is>
      </c>
      <c r="X52" s="10" t="inlineStr">
        <is>
          <t>Cenozoic Neogene Miocene late Langhian - Tortonian</t>
        </is>
      </c>
      <c r="Y52" s="10" t="inlineStr">
        <is>
          <t>海成層 礫岩</t>
        </is>
      </c>
      <c r="Z52" s="10" t="inlineStr">
        <is>
          <t>marine conglomerate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Neogene Sedimentary Basin</t>
        </is>
      </c>
    </row>
    <row r="53">
      <c r="A53" s="5" t="inlineStr">
        <is>
          <t>m200k_NI-54-31_u055</t>
        </is>
      </c>
      <c r="B53" s="6" t="inlineStr">
        <is>
          <t>col_5</t>
        </is>
      </c>
      <c r="C53" s="6" t="n">
        <v>7</v>
      </c>
      <c r="D53" s="7" t="inlineStr">
        <is>
          <t>Tortonian Mudstone (Kofu Neogene)</t>
        </is>
      </c>
      <c r="E53" s="5" t="inlineStr">
        <is>
          <t>Kofu Neogene Sedimentary Basin</t>
        </is>
      </c>
      <c r="F53" s="6" t="inlineStr">
        <is>
          <t>Tortonian</t>
        </is>
      </c>
      <c r="G53" s="8" t="n">
        <v>7.246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Langhian</t>
        </is>
      </c>
      <c r="J53" s="8" t="n">
        <v>15.98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mudstone</t>
        </is>
      </c>
      <c r="M53" s="5" t="inlineStr"/>
      <c r="N53" s="5" t="inlineStr">
        <is>
          <t>marine</t>
        </is>
      </c>
      <c r="O53" s="5" t="inlineStr">
        <is>
          <t>Cenozoic Neogene Miocene late Langhian - Tortonian; marine mudstone [Neogene Sedimentary Basin]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N2_som</t>
        </is>
      </c>
      <c r="U53" s="5" t="inlineStr"/>
      <c r="V53" s="10" t="inlineStr">
        <is>
          <t>N2_som</t>
        </is>
      </c>
      <c r="W53" s="10" t="inlineStr">
        <is>
          <t>新生代 新第三紀 中新世 後期ランギアン期〜トートニアン期</t>
        </is>
      </c>
      <c r="X53" s="10" t="inlineStr">
        <is>
          <t>Cenozoic Neogene Miocene late Langhian - Tortonian</t>
        </is>
      </c>
      <c r="Y53" s="10" t="inlineStr">
        <is>
          <t>海成層 泥岩</t>
        </is>
      </c>
      <c r="Z53" s="10" t="inlineStr">
        <is>
          <t>marine mudstone</t>
        </is>
      </c>
      <c r="AA53" s="10" t="inlineStr">
        <is>
          <t>堆積岩</t>
        </is>
      </c>
      <c r="AB53" s="10" t="inlineStr">
        <is>
          <t>Sedimentary rocks</t>
        </is>
      </c>
      <c r="AC53" s="10" t="inlineStr">
        <is>
          <t>Neogene Sedimentary Basin</t>
        </is>
      </c>
    </row>
    <row r="54">
      <c r="A54" s="5" t="inlineStr">
        <is>
          <t>m200k_NI-54-31_u046</t>
        </is>
      </c>
      <c r="B54" s="6" t="inlineStr">
        <is>
          <t>col_5</t>
        </is>
      </c>
      <c r="C54" s="6" t="n">
        <v>8</v>
      </c>
      <c r="D54" s="7" t="inlineStr">
        <is>
          <t>Tortonian Tonalite (Kofu Neogene)</t>
        </is>
      </c>
      <c r="E54" s="5" t="inlineStr">
        <is>
          <t>Kofu Neogene Sedimentary Basin</t>
        </is>
      </c>
      <c r="F54" s="6" t="inlineStr">
        <is>
          <t>Tortonian</t>
        </is>
      </c>
      <c r="G54" s="8" t="n">
        <v>7.246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Serravallian</t>
        </is>
      </c>
      <c r="J54" s="8" t="n">
        <v>13.82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tonalite</t>
        </is>
      </c>
      <c r="M54" s="5" t="inlineStr"/>
      <c r="N54" s="5" t="inlineStr">
        <is>
          <t>unknown</t>
        </is>
      </c>
      <c r="O54" s="5" t="inlineStr">
        <is>
          <t>Cenozoic Neogene Miocene late Serravallian - Tortonian; mssive granodiolite &amp; tonalite island arc &amp; continental [Neogene Sedimentary Basin]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N22_pim_a</t>
        </is>
      </c>
      <c r="U54" s="5" t="inlineStr"/>
      <c r="V54" s="10" t="inlineStr">
        <is>
          <t>N22_pim_a</t>
        </is>
      </c>
      <c r="W54" s="10" t="inlineStr">
        <is>
          <t>新生代 新第三紀 中新世 後期サーラバリアン期〜トートニアン期</t>
        </is>
      </c>
      <c r="X54" s="10" t="inlineStr">
        <is>
          <t>Cenozoic Neogene Miocene late Serravallian - Tortonian</t>
        </is>
      </c>
      <c r="Y54" s="10" t="inlineStr">
        <is>
          <t>花崗閃緑岩・トーナル岩 塊状 島弧・大陸</t>
        </is>
      </c>
      <c r="Z54" s="10" t="inlineStr">
        <is>
          <t>mssive granodiolite &amp; tonalite island arc &amp; continental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Neogene Sedimentary Basin</t>
        </is>
      </c>
    </row>
    <row r="55">
      <c r="A55" s="5" t="inlineStr">
        <is>
          <t>m200k_NI-54-31_u050</t>
        </is>
      </c>
      <c r="B55" s="6" t="inlineStr">
        <is>
          <t>col_5</t>
        </is>
      </c>
      <c r="C55" s="6" t="n">
        <v>9</v>
      </c>
      <c r="D55" s="7" t="inlineStr">
        <is>
          <t>Pliocene Tonalite (Kofu Neogene)</t>
        </is>
      </c>
      <c r="E55" s="5" t="inlineStr">
        <is>
          <t>Kofu Neogene Sedimentary Basin</t>
        </is>
      </c>
      <c r="F55" s="6" t="inlineStr">
        <is>
          <t>Pliocene</t>
        </is>
      </c>
      <c r="G55" s="8" t="n">
        <v>2.58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Messinian</t>
        </is>
      </c>
      <c r="J55" s="8" t="n">
        <v>7.246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tonalite</t>
        </is>
      </c>
      <c r="M55" s="5" t="inlineStr"/>
      <c r="N55" s="5" t="inlineStr">
        <is>
          <t>unknown</t>
        </is>
      </c>
      <c r="O55" s="5" t="inlineStr">
        <is>
          <t>Cenozoic Neogene Miocene Messinian - Pliocene; mssive granodiolite &amp; tonalite island arc &amp; continental [Neogene Sedimentary Basin]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N3_pim_a</t>
        </is>
      </c>
      <c r="U55" s="5" t="inlineStr"/>
      <c r="V55" s="10" t="inlineStr">
        <is>
          <t>N3_pim_a</t>
        </is>
      </c>
      <c r="W55" s="10" t="inlineStr">
        <is>
          <t>新生代 新第三紀 中新世 メッシニアン期〜鮮新世</t>
        </is>
      </c>
      <c r="X55" s="10" t="inlineStr">
        <is>
          <t>Cenozoic Neogene Miocene Messinian - Pliocene</t>
        </is>
      </c>
      <c r="Y55" s="10" t="inlineStr">
        <is>
          <t>花崗閃緑岩・トーナル岩 塊状 島弧・大陸</t>
        </is>
      </c>
      <c r="Z55" s="10" t="inlineStr">
        <is>
          <t>mssive granodiolite &amp; tonalite island arc &amp; continental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Neogene Sedimentary Basin</t>
        </is>
      </c>
    </row>
    <row r="56">
      <c r="A56" s="5" t="inlineStr">
        <is>
          <t>m200k_NI-54-31_u053</t>
        </is>
      </c>
      <c r="B56" s="6" t="inlineStr">
        <is>
          <t>col_5</t>
        </is>
      </c>
      <c r="C56" s="6" t="n">
        <v>10</v>
      </c>
      <c r="D56" s="7" t="inlineStr">
        <is>
          <t>Pliocene Conglomerate (Kofu Neogene)</t>
        </is>
      </c>
      <c r="E56" s="5" t="inlineStr">
        <is>
          <t>Kofu Neogene Sedimentary Basin</t>
        </is>
      </c>
      <c r="F56" s="6" t="inlineStr">
        <is>
          <t>Pliocene</t>
        </is>
      </c>
      <c r="G56" s="8" t="n">
        <v>2.58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Messinian</t>
        </is>
      </c>
      <c r="J56" s="8" t="n">
        <v>7.246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conglomerate</t>
        </is>
      </c>
      <c r="M56" s="5" t="inlineStr"/>
      <c r="N56" s="5" t="inlineStr">
        <is>
          <t>marine</t>
        </is>
      </c>
      <c r="O56" s="5" t="inlineStr">
        <is>
          <t>Cenozoic Neogene Miocene Messinian - Pliocene; marine conglomerate [Neogene Sedimentary Basin]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N3_soc</t>
        </is>
      </c>
      <c r="U56" s="5" t="inlineStr"/>
      <c r="V56" s="10" t="inlineStr">
        <is>
          <t>N3_soc</t>
        </is>
      </c>
      <c r="W56" s="10" t="inlineStr">
        <is>
          <t>新生代 新第三紀 中新世 メッシニアン期〜鮮新世</t>
        </is>
      </c>
      <c r="X56" s="10" t="inlineStr">
        <is>
          <t>Cenozoic Neogene Miocene Messinian - Pliocene</t>
        </is>
      </c>
      <c r="Y56" s="10" t="inlineStr">
        <is>
          <t>海成層 礫岩</t>
        </is>
      </c>
      <c r="Z56" s="10" t="inlineStr">
        <is>
          <t>marine conglomerate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Neogene Sedimentary Basin</t>
        </is>
      </c>
    </row>
    <row r="57">
      <c r="A57" s="5" t="inlineStr">
        <is>
          <t>m200k_NI-54-31_u092</t>
        </is>
      </c>
      <c r="B57" s="6" t="inlineStr">
        <is>
          <t>col_6</t>
        </is>
      </c>
      <c r="C57" s="6" t="n">
        <v>1</v>
      </c>
      <c r="D57" s="7" t="inlineStr">
        <is>
          <t>Cisuralian Basalt (Kofu Accretionary)</t>
        </is>
      </c>
      <c r="E57" s="5" t="inlineStr">
        <is>
          <t>Kofu Accretionary Complex</t>
        </is>
      </c>
      <c r="F57" s="6" t="inlineStr">
        <is>
          <t>Cisuralian</t>
        </is>
      </c>
      <c r="G57" s="8" t="n">
        <v>274.4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Serpukhovian</t>
        </is>
      </c>
      <c r="J57" s="8" t="n">
        <v>330.3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basalt</t>
        </is>
      </c>
      <c r="M57" s="5" t="inlineStr"/>
      <c r="N57" s="5" t="inlineStr">
        <is>
          <t>marine</t>
        </is>
      </c>
      <c r="O57" s="5" t="inlineStr">
        <is>
          <t>Paleozoic Carboniferous Pennsylvanian Serpukhovian - Permian Cisuralian; basalt oceanic Early to Middle Jurassic accretionary complex [Accretionary Complex]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C13-P1_vbs_o_J1</t>
        </is>
      </c>
      <c r="U57" s="5" t="inlineStr"/>
      <c r="V57" s="10" t="inlineStr">
        <is>
          <t>C13-P1_vbs_o_J1</t>
        </is>
      </c>
      <c r="W57" s="10" t="inlineStr">
        <is>
          <t>古生代 石炭紀 ペンシルバニアン亜紀 後期ミシシッピアン亜紀〜ペルム紀 シスウラリアン世</t>
        </is>
      </c>
      <c r="X57" s="10" t="inlineStr">
        <is>
          <t>Paleozoic Carboniferous Pennsylvanian Serpukhovian - Permian Cisuralian</t>
        </is>
      </c>
      <c r="Y57" s="10" t="inlineStr">
        <is>
          <t>玄武岩 海洋 前期-中期ジュラ紀付加体</t>
        </is>
      </c>
      <c r="Z57" s="10" t="inlineStr">
        <is>
          <t>basalt oceanic Early to Middle Jurassic accretionary complex</t>
        </is>
      </c>
      <c r="AA57" s="10" t="inlineStr">
        <is>
          <t>付加体</t>
        </is>
      </c>
      <c r="AB57" s="10" t="inlineStr">
        <is>
          <t>Accretionary complexes</t>
        </is>
      </c>
      <c r="AC57" s="10" t="inlineStr">
        <is>
          <t>Accretionary Complex</t>
        </is>
      </c>
    </row>
    <row r="58">
      <c r="A58" s="5" t="inlineStr">
        <is>
          <t>m200k_NI-54-31_u075</t>
        </is>
      </c>
      <c r="B58" s="6" t="inlineStr">
        <is>
          <t>col_6</t>
        </is>
      </c>
      <c r="C58" s="6" t="n">
        <v>2</v>
      </c>
      <c r="D58" s="7" t="inlineStr">
        <is>
          <t>Norian Basalt (Kofu Accretionary)</t>
        </is>
      </c>
      <c r="E58" s="5" t="inlineStr">
        <is>
          <t>Kofu Accretionary Complex</t>
        </is>
      </c>
      <c r="F58" s="6" t="inlineStr">
        <is>
          <t>Norian</t>
        </is>
      </c>
      <c r="G58" s="8" t="n">
        <v>205.7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Serpukhovian</t>
        </is>
      </c>
      <c r="J58" s="8" t="n">
        <v>330.3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basalt</t>
        </is>
      </c>
      <c r="M58" s="5" t="inlineStr"/>
      <c r="N58" s="5" t="inlineStr">
        <is>
          <t>marine</t>
        </is>
      </c>
      <c r="O58" s="5" t="inlineStr">
        <is>
          <t>Paleozoic Carboniferous Pennsylvanian Serpukhovian - Mesozoic Late Triassic Norian; basalt oceanic Middle to Late Jurassic accretionary complex [Accretionary Complex]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C13-Tr32_vbs_o_J2</t>
        </is>
      </c>
      <c r="U58" s="5" t="inlineStr"/>
      <c r="V58" s="10" t="inlineStr">
        <is>
          <t>C13-Tr32_vbs_o_J2</t>
        </is>
      </c>
      <c r="W58" s="10" t="inlineStr">
        <is>
          <t>古生代 石炭紀 ペンシルバニアン亜紀 後期ミシシッピアン亜紀〜中生代 後期三畳紀 ノーリアン期</t>
        </is>
      </c>
      <c r="X58" s="10" t="inlineStr">
        <is>
          <t>Paleozoic Carboniferous Pennsylvanian Serpukhovian - Mesozoic Late Triassic Norian</t>
        </is>
      </c>
      <c r="Y58" s="10" t="inlineStr">
        <is>
          <t>玄武岩 海洋 中期-後期ジュラ紀付加体</t>
        </is>
      </c>
      <c r="Z58" s="10" t="inlineStr">
        <is>
          <t>basalt oceanic Middle to Late Jurassic accretionary complex</t>
        </is>
      </c>
      <c r="AA58" s="10" t="inlineStr">
        <is>
          <t>付加体</t>
        </is>
      </c>
      <c r="AB58" s="10" t="inlineStr">
        <is>
          <t>Accretionary complexes</t>
        </is>
      </c>
      <c r="AC58" s="10" t="inlineStr">
        <is>
          <t>Accretionary Complex</t>
        </is>
      </c>
    </row>
    <row r="59">
      <c r="A59" s="5" t="inlineStr">
        <is>
          <t>m200k_NI-54-31_u084</t>
        </is>
      </c>
      <c r="B59" s="6" t="inlineStr">
        <is>
          <t>col_6</t>
        </is>
      </c>
      <c r="C59" s="6" t="n">
        <v>3</v>
      </c>
      <c r="D59" s="7" t="inlineStr">
        <is>
          <t>Norian Limestone (Kofu Accretionary)</t>
        </is>
      </c>
      <c r="E59" s="5" t="inlineStr">
        <is>
          <t>Kofu Accretionary Complex</t>
        </is>
      </c>
      <c r="F59" s="6" t="inlineStr">
        <is>
          <t>Norian</t>
        </is>
      </c>
      <c r="G59" s="8" t="n">
        <v>205.7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Serpukhovian</t>
        </is>
      </c>
      <c r="J59" s="8" t="n">
        <v>330.3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limestone</t>
        </is>
      </c>
      <c r="M59" s="5" t="inlineStr"/>
      <c r="N59" s="5" t="inlineStr">
        <is>
          <t>marine</t>
        </is>
      </c>
      <c r="O59" s="5" t="inlineStr">
        <is>
          <t>Paleozoic Carboniferous Pennsylvanian Serpukhovian - Mesozoic Late Triassic Norian; marine limestone Middle to Late Jurassic accretionary complex [Accretionary Complex]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C13-Tr32_sol_J2</t>
        </is>
      </c>
      <c r="U59" s="5" t="inlineStr"/>
      <c r="V59" s="10" t="inlineStr">
        <is>
          <t>C13-Tr32_sol_J2</t>
        </is>
      </c>
      <c r="W59" s="10" t="inlineStr">
        <is>
          <t>古生代 石炭紀 ペンシルバニアン亜紀 後期ミシシッピアン亜紀〜中生代 後期三畳紀 ノーリアン期</t>
        </is>
      </c>
      <c r="X59" s="10" t="inlineStr">
        <is>
          <t>Paleozoic Carboniferous Pennsylvanian Serpukhovian - Mesozoic Late Triassic Norian</t>
        </is>
      </c>
      <c r="Y59" s="10" t="inlineStr">
        <is>
          <t>海成層 石灰岩 中期-後期ジュラ紀付加体</t>
        </is>
      </c>
      <c r="Z59" s="10" t="inlineStr">
        <is>
          <t>marine limestone Middle to Late Jurassic accretionary complex</t>
        </is>
      </c>
      <c r="AA59" s="10" t="inlineStr">
        <is>
          <t>付加体</t>
        </is>
      </c>
      <c r="AB59" s="10" t="inlineStr">
        <is>
          <t>Accretionary complexes</t>
        </is>
      </c>
      <c r="AC59" s="10" t="inlineStr">
        <is>
          <t>Accretionary Complex</t>
        </is>
      </c>
    </row>
    <row r="60">
      <c r="A60" s="5" t="inlineStr">
        <is>
          <t>m200k_NI-54-31_u062</t>
        </is>
      </c>
      <c r="B60" s="6" t="inlineStr">
        <is>
          <t>col_6</t>
        </is>
      </c>
      <c r="C60" s="6" t="n">
        <v>4</v>
      </c>
      <c r="D60" s="7" t="inlineStr">
        <is>
          <t>Triassic Limestone (Kofu Accretionary)</t>
        </is>
      </c>
      <c r="E60" s="5" t="inlineStr">
        <is>
          <t>Kofu Accretionary Complex</t>
        </is>
      </c>
      <c r="F60" s="6" t="inlineStr">
        <is>
          <t>Triassic</t>
        </is>
      </c>
      <c r="G60" s="8" t="n">
        <v>201.4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Serpukhovian</t>
        </is>
      </c>
      <c r="J60" s="8" t="n">
        <v>330.3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limestone</t>
        </is>
      </c>
      <c r="M60" s="5" t="inlineStr"/>
      <c r="N60" s="5" t="inlineStr">
        <is>
          <t>marine</t>
        </is>
      </c>
      <c r="O60" s="5" t="inlineStr">
        <is>
          <t>Paleozoic Carboniferous Pennsylvanian Serpukhovian - Mesozoic Triassic; marine limestone Early to Middle Jurassic accretionary complex [Accretionary Complex]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C13-Tr_sol_J1</t>
        </is>
      </c>
      <c r="U60" s="5" t="inlineStr"/>
      <c r="V60" s="10" t="inlineStr">
        <is>
          <t>C13-Tr_sol_J1</t>
        </is>
      </c>
      <c r="W60" s="10" t="inlineStr">
        <is>
          <t>古生代 石炭紀 ペンシルバニアン亜紀 後期ミシシッピアン亜紀〜中生代 三畳紀</t>
        </is>
      </c>
      <c r="X60" s="10" t="inlineStr">
        <is>
          <t>Paleozoic Carboniferous Pennsylvanian Serpukhovian - Mesozoic Triassic</t>
        </is>
      </c>
      <c r="Y60" s="10" t="inlineStr">
        <is>
          <t>海成層 石灰岩 前期-中期ジュラ紀付加体</t>
        </is>
      </c>
      <c r="Z60" s="10" t="inlineStr">
        <is>
          <t>marine limestone Early to Middle Jurassic accretionary complex</t>
        </is>
      </c>
      <c r="AA60" s="10" t="inlineStr">
        <is>
          <t>付加体</t>
        </is>
      </c>
      <c r="AB60" s="10" t="inlineStr">
        <is>
          <t>Accretionary complexes</t>
        </is>
      </c>
      <c r="AC60" s="10" t="inlineStr">
        <is>
          <t>Accretionary Complex</t>
        </is>
      </c>
    </row>
    <row r="61">
      <c r="A61" s="5" t="inlineStr">
        <is>
          <t>m200k_NI-54-31_u089</t>
        </is>
      </c>
      <c r="B61" s="6" t="inlineStr">
        <is>
          <t>col_6</t>
        </is>
      </c>
      <c r="C61" s="6" t="n">
        <v>5</v>
      </c>
      <c r="D61" s="7" t="inlineStr">
        <is>
          <t>Norian Basalt (Kofu Accretionary)</t>
        </is>
      </c>
      <c r="E61" s="5" t="inlineStr">
        <is>
          <t>Kofu Accretionary Complex</t>
        </is>
      </c>
      <c r="F61" s="6" t="inlineStr">
        <is>
          <t>Norian</t>
        </is>
      </c>
      <c r="G61" s="8" t="n">
        <v>205.7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Sakmarian</t>
        </is>
      </c>
      <c r="J61" s="8" t="n">
        <v>293.52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basalt</t>
        </is>
      </c>
      <c r="M61" s="5" t="inlineStr"/>
      <c r="N61" s="5" t="inlineStr">
        <is>
          <t>marine</t>
        </is>
      </c>
      <c r="O61" s="5" t="inlineStr">
        <is>
          <t>Paleozoic Permian Cisuralian Sakmarian - Mesozoic Late Triassic Norian; basalt oceanic Late Jurassic to Early Cretaceous accretionary complex [Accretionary Complex]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P12-Tr32_vbs_o_J3</t>
        </is>
      </c>
      <c r="U61" s="5" t="inlineStr"/>
      <c r="V61" s="10" t="inlineStr">
        <is>
          <t>P12-Tr32_vbs_o_J3</t>
        </is>
      </c>
      <c r="W61" s="10" t="inlineStr">
        <is>
          <t>古生代 ペルム紀 シスウラリアン世 サクマーリアン期〜中生代 後期三畳紀 ノーリアン期</t>
        </is>
      </c>
      <c r="X61" s="10" t="inlineStr">
        <is>
          <t>Paleozoic Permian Cisuralian Sakmarian - Mesozoic Late Triassic Norian</t>
        </is>
      </c>
      <c r="Y61" s="10" t="inlineStr">
        <is>
          <t>玄武岩 海洋 後期ジュラ紀-前期白亜紀付加体</t>
        </is>
      </c>
      <c r="Z61" s="10" t="inlineStr">
        <is>
          <t>basalt oceanic Late Jurassic to Early Cretaceous accretionary complex</t>
        </is>
      </c>
      <c r="AA61" s="10" t="inlineStr">
        <is>
          <t>付加体</t>
        </is>
      </c>
      <c r="AB61" s="10" t="inlineStr">
        <is>
          <t>Accretionary complexes</t>
        </is>
      </c>
      <c r="AC61" s="10" t="inlineStr">
        <is>
          <t>Accretionary Complex</t>
        </is>
      </c>
    </row>
    <row r="62">
      <c r="A62" s="5" t="inlineStr">
        <is>
          <t>m200k_NI-54-31_u059</t>
        </is>
      </c>
      <c r="B62" s="6" t="inlineStr">
        <is>
          <t>col_6</t>
        </is>
      </c>
      <c r="C62" s="6" t="n">
        <v>6</v>
      </c>
      <c r="D62" s="7" t="inlineStr">
        <is>
          <t>Bajocian Chert (Kofu Accretionary)</t>
        </is>
      </c>
      <c r="E62" s="5" t="inlineStr">
        <is>
          <t>Kofu Accretionary Complex</t>
        </is>
      </c>
      <c r="F62" s="6" t="inlineStr">
        <is>
          <t>Bajocian</t>
        </is>
      </c>
      <c r="G62" s="8" t="n">
        <v>168.2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Serpukhovian</t>
        </is>
      </c>
      <c r="J62" s="8" t="n">
        <v>330.3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chert</t>
        </is>
      </c>
      <c r="M62" s="5" t="inlineStr"/>
      <c r="N62" s="5" t="inlineStr">
        <is>
          <t>marine</t>
        </is>
      </c>
      <c r="O62" s="5" t="inlineStr">
        <is>
          <t>Paleozoic Carboniferous Pennsylvanian Serpukhovian - Mesozoic Jurassic Middle Bajocian; chert Middle to Late Jurassic accretionary complex [Accretionary Complex]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C13-J22_soh_J2</t>
        </is>
      </c>
      <c r="U62" s="5" t="inlineStr"/>
      <c r="V62" s="10" t="inlineStr">
        <is>
          <t>C13-J22_soh_J2</t>
        </is>
      </c>
      <c r="W62" s="10" t="inlineStr">
        <is>
          <t>古生代 石炭紀 ペンシルバニアン亜紀 後期ミシシッピアン亜紀〜中生代 中期ジュラ紀 バジョシアン期</t>
        </is>
      </c>
      <c r="X62" s="10" t="inlineStr">
        <is>
          <t>Paleozoic Carboniferous Pennsylvanian Serpukhovian - Mesozoic Jurassic Middle Bajocian</t>
        </is>
      </c>
      <c r="Y62" s="10" t="inlineStr">
        <is>
          <t>チャート 中期-後期ジュラ紀付加体</t>
        </is>
      </c>
      <c r="Z62" s="10" t="inlineStr">
        <is>
          <t>chert Middle to Late Jurassic accretionary complex</t>
        </is>
      </c>
      <c r="AA62" s="10" t="inlineStr">
        <is>
          <t>付加体</t>
        </is>
      </c>
      <c r="AB62" s="10" t="inlineStr">
        <is>
          <t>Accretionary complexes</t>
        </is>
      </c>
      <c r="AC62" s="10" t="inlineStr">
        <is>
          <t>Accretionary Complex</t>
        </is>
      </c>
    </row>
    <row r="63">
      <c r="A63" s="5" t="inlineStr">
        <is>
          <t>m200k_NI-54-31_u061</t>
        </is>
      </c>
      <c r="B63" s="6" t="inlineStr">
        <is>
          <t>col_6</t>
        </is>
      </c>
      <c r="C63" s="6" t="n">
        <v>7</v>
      </c>
      <c r="D63" s="7" t="inlineStr">
        <is>
          <t>Jurassic Chert (Kofu Accretionary)</t>
        </is>
      </c>
      <c r="E63" s="5" t="inlineStr">
        <is>
          <t>Kofu Accretionary Complex</t>
        </is>
      </c>
      <c r="F63" s="6" t="inlineStr">
        <is>
          <t>Jurassic</t>
        </is>
      </c>
      <c r="G63" s="8" t="n">
        <v>143.1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Serpukhovian</t>
        </is>
      </c>
      <c r="J63" s="8" t="n">
        <v>330.3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chert</t>
        </is>
      </c>
      <c r="M63" s="5" t="inlineStr"/>
      <c r="N63" s="5" t="inlineStr">
        <is>
          <t>marine</t>
        </is>
      </c>
      <c r="O63" s="5" t="inlineStr">
        <is>
          <t>Paleozoic Carboniferous Pennsylvanian Serpukhovian - Mesozoic Jurassic Early; chert Early to Middle Jurassic accretionary complex [Accretionary Complex]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C13-J1_soh_J1</t>
        </is>
      </c>
      <c r="U63" s="5" t="inlineStr"/>
      <c r="V63" s="10" t="inlineStr">
        <is>
          <t>C13-J1_soh_J1</t>
        </is>
      </c>
      <c r="W63" s="10" t="inlineStr">
        <is>
          <t>古生代 石炭紀 ペンシルバニアン亜紀 後期ミシシッピアン亜紀〜中生代 前期ジュラ紀</t>
        </is>
      </c>
      <c r="X63" s="10" t="inlineStr">
        <is>
          <t>Paleozoic Carboniferous Pennsylvanian Serpukhovian - Mesozoic Jurassic Early</t>
        </is>
      </c>
      <c r="Y63" s="10" t="inlineStr">
        <is>
          <t>チャート 前期-中期ジュラ紀付加体</t>
        </is>
      </c>
      <c r="Z63" s="10" t="inlineStr">
        <is>
          <t>chert Early to Middle Jurassic accretionary complex</t>
        </is>
      </c>
      <c r="AA63" s="10" t="inlineStr">
        <is>
          <t>付加体</t>
        </is>
      </c>
      <c r="AB63" s="10" t="inlineStr">
        <is>
          <t>Accretionary complexes</t>
        </is>
      </c>
      <c r="AC63" s="10" t="inlineStr">
        <is>
          <t>Accretionary Complex</t>
        </is>
      </c>
    </row>
    <row r="64">
      <c r="A64" s="5" t="inlineStr">
        <is>
          <t>m200k_NI-54-31_u067</t>
        </is>
      </c>
      <c r="B64" s="6" t="inlineStr">
        <is>
          <t>col_6</t>
        </is>
      </c>
      <c r="C64" s="6" t="n">
        <v>8</v>
      </c>
      <c r="D64" s="7" t="inlineStr">
        <is>
          <t>Oxfordian Chert (Kofu Accretionary)</t>
        </is>
      </c>
      <c r="E64" s="5" t="inlineStr">
        <is>
          <t>Kofu Accretionary Complex</t>
        </is>
      </c>
      <c r="F64" s="6" t="inlineStr">
        <is>
          <t>Oxfordian</t>
        </is>
      </c>
      <c r="G64" s="8" t="n">
        <v>154.8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Sakmarian</t>
        </is>
      </c>
      <c r="J64" s="8" t="n">
        <v>293.52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chert</t>
        </is>
      </c>
      <c r="M64" s="5" t="inlineStr"/>
      <c r="N64" s="5" t="inlineStr">
        <is>
          <t>marine</t>
        </is>
      </c>
      <c r="O64" s="5" t="inlineStr">
        <is>
          <t>Paleozoic Permian Cisuralian Sakmarian - Mesozoic Late Jurassic Oxfordian; chert Late Jurassic to Early Cretaceous accretionary complex [Accretionary Complex]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P12-J31_soh_J3</t>
        </is>
      </c>
      <c r="U64" s="5" t="inlineStr"/>
      <c r="V64" s="10" t="inlineStr">
        <is>
          <t>P12-J31_soh_J3</t>
        </is>
      </c>
      <c r="W64" s="10" t="inlineStr">
        <is>
          <t>古生代 ペルム紀 シスウラリアン世 サクマーリアン期〜中生代 後期ジュラ紀 オックスフォーディアン期</t>
        </is>
      </c>
      <c r="X64" s="10" t="inlineStr">
        <is>
          <t>Paleozoic Permian Cisuralian Sakmarian - Mesozoic Late Jurassic Oxfordian</t>
        </is>
      </c>
      <c r="Y64" s="10" t="inlineStr">
        <is>
          <t>チャート 後期ジュラ紀-前期白亜紀付加体</t>
        </is>
      </c>
      <c r="Z64" s="10" t="inlineStr">
        <is>
          <t>chert Late Jurassic to Early Cretaceous accretionary complex</t>
        </is>
      </c>
      <c r="AA64" s="10" t="inlineStr">
        <is>
          <t>付加体</t>
        </is>
      </c>
      <c r="AB64" s="10" t="inlineStr">
        <is>
          <t>Accretionary complexes</t>
        </is>
      </c>
      <c r="AC64" s="10" t="inlineStr">
        <is>
          <t>Accretionary Complex</t>
        </is>
      </c>
    </row>
    <row r="65">
      <c r="A65" s="5" t="inlineStr">
        <is>
          <t>m200k_NI-54-31_u070</t>
        </is>
      </c>
      <c r="B65" s="6" t="inlineStr">
        <is>
          <t>col_6</t>
        </is>
      </c>
      <c r="C65" s="6" t="n">
        <v>9</v>
      </c>
      <c r="D65" s="7" t="inlineStr">
        <is>
          <t>Jurassic Limestone (Kofu Accretionary)</t>
        </is>
      </c>
      <c r="E65" s="5" t="inlineStr">
        <is>
          <t>Kofu Accretionary Complex</t>
        </is>
      </c>
      <c r="F65" s="6" t="inlineStr">
        <is>
          <t>Jurassic</t>
        </is>
      </c>
      <c r="G65" s="8" t="n">
        <v>143.1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Sakmarian</t>
        </is>
      </c>
      <c r="J65" s="8" t="n">
        <v>293.52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limestone</t>
        </is>
      </c>
      <c r="M65" s="5" t="inlineStr"/>
      <c r="N65" s="5" t="inlineStr">
        <is>
          <t>marine</t>
        </is>
      </c>
      <c r="O65" s="5" t="inlineStr">
        <is>
          <t>Paleozoic Permian Cisuralian Sakmarian - Mesozoic Jurassic; marine limestone Late Jurassic to Early Cretaceous accretionary complex [Accretionary Complex]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P12-J_sol_J3</t>
        </is>
      </c>
      <c r="U65" s="5" t="inlineStr"/>
      <c r="V65" s="10" t="inlineStr">
        <is>
          <t>P12-J_sol_J3</t>
        </is>
      </c>
      <c r="W65" s="10" t="inlineStr">
        <is>
          <t>古生代 ペルム紀 シスウラリアン世 サクマーリアン期〜中生代 ジュラ紀</t>
        </is>
      </c>
      <c r="X65" s="10" t="inlineStr">
        <is>
          <t>Paleozoic Permian Cisuralian Sakmarian - Mesozoic Jurassic</t>
        </is>
      </c>
      <c r="Y65" s="10" t="inlineStr">
        <is>
          <t>海成層 石灰岩 後期ジュラ紀-前期白亜紀付加体</t>
        </is>
      </c>
      <c r="Z65" s="10" t="inlineStr">
        <is>
          <t>marine limestone Late Jurassic to Early Cretaceous accretionary complex</t>
        </is>
      </c>
      <c r="AA65" s="10" t="inlineStr">
        <is>
          <t>付加体</t>
        </is>
      </c>
      <c r="AB65" s="10" t="inlineStr">
        <is>
          <t>Accretionary complexes</t>
        </is>
      </c>
      <c r="AC65" s="10" t="inlineStr">
        <is>
          <t>Accretionary Complex</t>
        </is>
      </c>
    </row>
    <row r="66">
      <c r="A66" s="5" t="inlineStr">
        <is>
          <t>m200k_NI-54-31_u060</t>
        </is>
      </c>
      <c r="B66" s="6" t="inlineStr">
        <is>
          <t>col_6</t>
        </is>
      </c>
      <c r="C66" s="6" t="n">
        <v>10</v>
      </c>
      <c r="D66" s="7" t="inlineStr">
        <is>
          <t>Bajocian Sedimentary (Kofu Accretionary)</t>
        </is>
      </c>
      <c r="E66" s="5" t="inlineStr">
        <is>
          <t>Kofu Accretionary Complex</t>
        </is>
      </c>
      <c r="F66" s="6" t="inlineStr">
        <is>
          <t>Bajocian</t>
        </is>
      </c>
      <c r="G66" s="8" t="n">
        <v>168.2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Jurassic</t>
        </is>
      </c>
      <c r="J66" s="8" t="n">
        <v>201.4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sedimentary</t>
        </is>
      </c>
      <c r="M66" s="5" t="inlineStr"/>
      <c r="N66" s="5" t="inlineStr">
        <is>
          <t>marine</t>
        </is>
      </c>
      <c r="O66" s="5" t="inlineStr">
        <is>
          <t>Mesozoic Jurassic Early - Middle Bajocian; mixed rock Early to Middle Jurassic accretionary complex [Accretionary Complex]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J1-22_sx_J1</t>
        </is>
      </c>
      <c r="U66" s="5" t="inlineStr"/>
      <c r="V66" s="10" t="inlineStr">
        <is>
          <t>J1-22_sx_J1</t>
        </is>
      </c>
      <c r="W66" s="10" t="inlineStr">
        <is>
          <t>中生代 前期ジュラ紀〜中期ジュラ紀 バジョシアン期</t>
        </is>
      </c>
      <c r="X66" s="10" t="inlineStr">
        <is>
          <t>Mesozoic Jurassic Early - Middle Bajocian</t>
        </is>
      </c>
      <c r="Y66" s="10" t="inlineStr">
        <is>
          <t>混在岩 前期-中期ジュラ紀付加体</t>
        </is>
      </c>
      <c r="Z66" s="10" t="inlineStr">
        <is>
          <t>mixed rock Early to Middle Jurassic accretionary complex</t>
        </is>
      </c>
      <c r="AA66" s="10" t="inlineStr">
        <is>
          <t>付加体</t>
        </is>
      </c>
      <c r="AB66" s="10" t="inlineStr">
        <is>
          <t>Accretionary complexes</t>
        </is>
      </c>
      <c r="AC66" s="10" t="inlineStr">
        <is>
          <t>Accretionary Complex</t>
        </is>
      </c>
    </row>
    <row r="67">
      <c r="A67" s="5" t="inlineStr">
        <is>
          <t>m200k_NI-54-31_u058</t>
        </is>
      </c>
      <c r="B67" s="6" t="inlineStr">
        <is>
          <t>col_6</t>
        </is>
      </c>
      <c r="C67" s="6" t="n">
        <v>11</v>
      </c>
      <c r="D67" s="7" t="inlineStr">
        <is>
          <t>Oxfordian Sandstone (Kofu Accretionary)</t>
        </is>
      </c>
      <c r="E67" s="5" t="inlineStr">
        <is>
          <t>Kofu Accretionary Complex</t>
        </is>
      </c>
      <c r="F67" s="6" t="inlineStr">
        <is>
          <t>Oxfordian</t>
        </is>
      </c>
      <c r="G67" s="8" t="n">
        <v>154.8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Jurassic</t>
        </is>
      </c>
      <c r="J67" s="8" t="n">
        <v>201.4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sandstone</t>
        </is>
      </c>
      <c r="M67" s="5" t="inlineStr">
        <is>
          <t>mudstone</t>
        </is>
      </c>
      <c r="N67" s="5" t="inlineStr">
        <is>
          <t>marine</t>
        </is>
      </c>
      <c r="O67" s="5" t="inlineStr">
        <is>
          <t>Mesozoic Jurassic Middle - Late Jurassic Oxfordian; marine alternation of sandstone &amp; mudstone Middle to Late Jurassic accretionary complex [Accretionary Complex]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J2-31_sosma_J2</t>
        </is>
      </c>
      <c r="U67" s="5" t="inlineStr"/>
      <c r="V67" s="10" t="inlineStr">
        <is>
          <t>J2-31_sosma_J2</t>
        </is>
      </c>
      <c r="W67" s="10" t="inlineStr">
        <is>
          <t>中生代 中期ジュラ紀〜後期ジュラ紀 オックスフォーディアン期</t>
        </is>
      </c>
      <c r="X67" s="10" t="inlineStr">
        <is>
          <t>Mesozoic Jurassic Middle - Late Jurassic Oxfordian</t>
        </is>
      </c>
      <c r="Y67" s="10" t="inlineStr">
        <is>
          <t>海成層 砂岩泥岩互層 中期-後期ジュラ紀付加体</t>
        </is>
      </c>
      <c r="Z67" s="10" t="inlineStr">
        <is>
          <t>marine alternation of sandstone &amp; mudstone Middle to Late Jurassic accretionary complex</t>
        </is>
      </c>
      <c r="AA67" s="10" t="inlineStr">
        <is>
          <t>付加体</t>
        </is>
      </c>
      <c r="AB67" s="10" t="inlineStr">
        <is>
          <t>Accretionary complexes</t>
        </is>
      </c>
      <c r="AC67" s="10" t="inlineStr">
        <is>
          <t>Accretionary Complex</t>
        </is>
      </c>
    </row>
    <row r="68">
      <c r="A68" s="5" t="inlineStr">
        <is>
          <t>m200k_NI-54-31_u069</t>
        </is>
      </c>
      <c r="B68" s="6" t="inlineStr">
        <is>
          <t>col_6</t>
        </is>
      </c>
      <c r="C68" s="6" t="n">
        <v>12</v>
      </c>
      <c r="D68" s="7" t="inlineStr">
        <is>
          <t>Oxfordian Sedimentary (Kofu Accretionary)</t>
        </is>
      </c>
      <c r="E68" s="5" t="inlineStr">
        <is>
          <t>Kofu Accretionary Complex</t>
        </is>
      </c>
      <c r="F68" s="6" t="inlineStr">
        <is>
          <t>Oxfordian</t>
        </is>
      </c>
      <c r="G68" s="8" t="n">
        <v>154.8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Jurassic</t>
        </is>
      </c>
      <c r="J68" s="8" t="n">
        <v>201.4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sedimentary</t>
        </is>
      </c>
      <c r="M68" s="5" t="inlineStr"/>
      <c r="N68" s="5" t="inlineStr">
        <is>
          <t>marine</t>
        </is>
      </c>
      <c r="O68" s="5" t="inlineStr">
        <is>
          <t>Mesozoic Jurassic Middle - Late Jurassic Oxfordian; mixed rock Middle to Late Jurassic accretionary complex [Accretionary Complex]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J2-31_sx_J2</t>
        </is>
      </c>
      <c r="U68" s="5" t="inlineStr"/>
      <c r="V68" s="10" t="inlineStr">
        <is>
          <t>J2-31_sx_J2</t>
        </is>
      </c>
      <c r="W68" s="10" t="inlineStr">
        <is>
          <t>中生代 中期ジュラ紀〜後期ジュラ紀 オックスフォーディアン期</t>
        </is>
      </c>
      <c r="X68" s="10" t="inlineStr">
        <is>
          <t>Mesozoic Jurassic Middle - Late Jurassic Oxfordian</t>
        </is>
      </c>
      <c r="Y68" s="10" t="inlineStr">
        <is>
          <t>混在岩 中期-後期ジュラ紀付加体</t>
        </is>
      </c>
      <c r="Z68" s="10" t="inlineStr">
        <is>
          <t>mixed rock Middle to Late Jurassic accretionary complex</t>
        </is>
      </c>
      <c r="AA68" s="10" t="inlineStr">
        <is>
          <t>付加体</t>
        </is>
      </c>
      <c r="AB68" s="10" t="inlineStr">
        <is>
          <t>Accretionary complexes</t>
        </is>
      </c>
      <c r="AC68" s="10" t="inlineStr">
        <is>
          <t>Accretionary Complex</t>
        </is>
      </c>
    </row>
    <row r="69">
      <c r="A69" s="5" t="inlineStr">
        <is>
          <t>m200k_NI-54-31_u073</t>
        </is>
      </c>
      <c r="B69" s="6" t="inlineStr">
        <is>
          <t>col_6</t>
        </is>
      </c>
      <c r="C69" s="6" t="n">
        <v>13</v>
      </c>
      <c r="D69" s="7" t="inlineStr">
        <is>
          <t>Oxfordian Sandstone (Kofu Accretionary)</t>
        </is>
      </c>
      <c r="E69" s="5" t="inlineStr">
        <is>
          <t>Kofu Accretionary Complex</t>
        </is>
      </c>
      <c r="F69" s="6" t="inlineStr">
        <is>
          <t>Oxfordian</t>
        </is>
      </c>
      <c r="G69" s="8" t="n">
        <v>154.8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Jurassic</t>
        </is>
      </c>
      <c r="J69" s="8" t="n">
        <v>201.4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sandstone</t>
        </is>
      </c>
      <c r="M69" s="5" t="inlineStr"/>
      <c r="N69" s="5" t="inlineStr">
        <is>
          <t>marine</t>
        </is>
      </c>
      <c r="O69" s="5" t="inlineStr">
        <is>
          <t>Mesozoic Jurassic Middle - Late Jurassic Oxfordian; marine sandstone Middle to Late Jurassic accretionary complex [Accretionary Complex]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J2-31_soss_J2</t>
        </is>
      </c>
      <c r="U69" s="5" t="inlineStr"/>
      <c r="V69" s="10" t="inlineStr">
        <is>
          <t>J2-31_soss_J2</t>
        </is>
      </c>
      <c r="W69" s="10" t="inlineStr">
        <is>
          <t>中生代 中期ジュラ紀〜後期ジュラ紀 オックスフォーディアン期</t>
        </is>
      </c>
      <c r="X69" s="10" t="inlineStr">
        <is>
          <t>Mesozoic Jurassic Middle - Late Jurassic Oxfordian</t>
        </is>
      </c>
      <c r="Y69" s="10" t="inlineStr">
        <is>
          <t>海成層 砂岩 中期-後期ジュラ紀付加体</t>
        </is>
      </c>
      <c r="Z69" s="10" t="inlineStr">
        <is>
          <t>marine sandstone Middle to Late Jurassic accretionary complex</t>
        </is>
      </c>
      <c r="AA69" s="10" t="inlineStr">
        <is>
          <t>付加体</t>
        </is>
      </c>
      <c r="AB69" s="10" t="inlineStr">
        <is>
          <t>Accretionary complexes</t>
        </is>
      </c>
      <c r="AC69" s="10" t="inlineStr">
        <is>
          <t>Accretionary Complex</t>
        </is>
      </c>
    </row>
    <row r="70">
      <c r="A70" s="5" t="inlineStr">
        <is>
          <t>m200k_NI-54-31_u057</t>
        </is>
      </c>
      <c r="B70" s="6" t="inlineStr">
        <is>
          <t>col_6</t>
        </is>
      </c>
      <c r="C70" s="6" t="n">
        <v>14</v>
      </c>
      <c r="D70" s="7" t="inlineStr">
        <is>
          <t>Barremian Sedimentary (Kofu Accretionary)</t>
        </is>
      </c>
      <c r="E70" s="5" t="inlineStr">
        <is>
          <t>Kofu Accretionary Complex</t>
        </is>
      </c>
      <c r="F70" s="6" t="inlineStr">
        <is>
          <t>Barremian</t>
        </is>
      </c>
      <c r="G70" s="8" t="n">
        <v>121.4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Callovian</t>
        </is>
      </c>
      <c r="J70" s="8" t="n">
        <v>165.3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sedimentary</t>
        </is>
      </c>
      <c r="M70" s="5" t="inlineStr"/>
      <c r="N70" s="5" t="inlineStr">
        <is>
          <t>marine</t>
        </is>
      </c>
      <c r="O70" s="5" t="inlineStr">
        <is>
          <t>Mesozoic Jurassic Middle Callovian - Early Cretaceous Barremian; mixed rock Late Jurassic to Early Cretaceous accretionary complex [Accretionary Complex]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J24-K11_sx_J3</t>
        </is>
      </c>
      <c r="U70" s="5" t="inlineStr"/>
      <c r="V70" s="10" t="inlineStr">
        <is>
          <t>J24-K11_sx_J3</t>
        </is>
      </c>
      <c r="W70" s="10" t="inlineStr">
        <is>
          <t>中生代 中期ジュラ紀 カロビアン期〜前期白亜紀 バレミアン期</t>
        </is>
      </c>
      <c r="X70" s="10" t="inlineStr">
        <is>
          <t>Mesozoic Jurassic Middle Callovian - Early Cretaceous Barremian</t>
        </is>
      </c>
      <c r="Y70" s="10" t="inlineStr">
        <is>
          <t>混在岩 後期ジュラ紀-前期白亜紀付加体</t>
        </is>
      </c>
      <c r="Z70" s="10" t="inlineStr">
        <is>
          <t>mixed rock Late Jurassic to Early Cretaceous accretionary complex</t>
        </is>
      </c>
      <c r="AA70" s="10" t="inlineStr">
        <is>
          <t>付加体</t>
        </is>
      </c>
      <c r="AB70" s="10" t="inlineStr">
        <is>
          <t>Accretionary complexes</t>
        </is>
      </c>
      <c r="AC70" s="10" t="inlineStr">
        <is>
          <t>Accretionary Complex</t>
        </is>
      </c>
    </row>
    <row r="71">
      <c r="A71" s="5" t="inlineStr">
        <is>
          <t>m200k_NI-54-31_u093</t>
        </is>
      </c>
      <c r="B71" s="6" t="inlineStr">
        <is>
          <t>col_6</t>
        </is>
      </c>
      <c r="C71" s="6" t="n">
        <v>15</v>
      </c>
      <c r="D71" s="7" t="inlineStr">
        <is>
          <t>Aptian Chert (Kofu Accretionary)</t>
        </is>
      </c>
      <c r="E71" s="5" t="inlineStr">
        <is>
          <t>Kofu Accretionary Complex</t>
        </is>
      </c>
      <c r="F71" s="6" t="inlineStr">
        <is>
          <t>Aptian</t>
        </is>
      </c>
      <c r="G71" s="8" t="n">
        <v>113.2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Tithonian</t>
        </is>
      </c>
      <c r="J71" s="8" t="n">
        <v>149.2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chert</t>
        </is>
      </c>
      <c r="M71" s="5" t="inlineStr"/>
      <c r="N71" s="5" t="inlineStr">
        <is>
          <t>marine</t>
        </is>
      </c>
      <c r="O71" s="5" t="inlineStr">
        <is>
          <t>Mesozoic Late Jurassic Tithonian - Early Cretaceous Aptian; chert late Early to early Late Cretaceous accretionary complex [Accretionary Complex]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J33-K121_soh_K1</t>
        </is>
      </c>
      <c r="U71" s="5" t="inlineStr"/>
      <c r="V71" s="10" t="inlineStr">
        <is>
          <t>J33-K121_soh_K1</t>
        </is>
      </c>
      <c r="W71" s="10" t="inlineStr">
        <is>
          <t>中生代 後期ジュラ紀 チトニアン期〜前期白亜紀 アプチアン期</t>
        </is>
      </c>
      <c r="X71" s="10" t="inlineStr">
        <is>
          <t>Mesozoic Late Jurassic Tithonian - Early Cretaceous Aptian</t>
        </is>
      </c>
      <c r="Y71" s="10" t="inlineStr">
        <is>
          <t>チャート 前期白亜紀後期-後期白亜紀前期付加体</t>
        </is>
      </c>
      <c r="Z71" s="10" t="inlineStr">
        <is>
          <t>chert late Early to early Late Cretaceous accretionary complex</t>
        </is>
      </c>
      <c r="AA71" s="10" t="inlineStr">
        <is>
          <t>付加体</t>
        </is>
      </c>
      <c r="AB71" s="10" t="inlineStr">
        <is>
          <t>Accretionary complexes</t>
        </is>
      </c>
      <c r="AC71" s="10" t="inlineStr">
        <is>
          <t>Accretionary Complex</t>
        </is>
      </c>
    </row>
    <row r="72">
      <c r="A72" s="5" t="inlineStr">
        <is>
          <t>m200k_NI-54-31_u064</t>
        </is>
      </c>
      <c r="B72" s="6" t="inlineStr">
        <is>
          <t>col_6</t>
        </is>
      </c>
      <c r="C72" s="6" t="n">
        <v>16</v>
      </c>
      <c r="D72" s="7" t="inlineStr">
        <is>
          <t>Turonian Basalt (Kofu Accretionary)</t>
        </is>
      </c>
      <c r="E72" s="5" t="inlineStr">
        <is>
          <t>Kofu Accretionary Complex</t>
        </is>
      </c>
      <c r="F72" s="6" t="inlineStr">
        <is>
          <t>Turonian</t>
        </is>
      </c>
      <c r="G72" s="8" t="n">
        <v>89.8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Tithonian</t>
        </is>
      </c>
      <c r="J72" s="8" t="n">
        <v>149.2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basalt</t>
        </is>
      </c>
      <c r="M72" s="5" t="inlineStr"/>
      <c r="N72" s="5" t="inlineStr">
        <is>
          <t>marine</t>
        </is>
      </c>
      <c r="O72" s="5" t="inlineStr">
        <is>
          <t>Mesozoic Late Jurassic Tithonian - Late Cretaceous Turonian; basalt oceanic Late Cretaceous accretionary complex [Accretionary Complex]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J33-K212_vbs_o_K2</t>
        </is>
      </c>
      <c r="U72" s="5" t="inlineStr"/>
      <c r="V72" s="10" t="inlineStr">
        <is>
          <t>J33-K212_vbs_o_K2</t>
        </is>
      </c>
      <c r="W72" s="10" t="inlineStr">
        <is>
          <t>中生代 後期ジュラ紀 チトニアン期〜後期白亜紀 チューロニアン期</t>
        </is>
      </c>
      <c r="X72" s="10" t="inlineStr">
        <is>
          <t>Mesozoic Late Jurassic Tithonian - Late Cretaceous Turonian</t>
        </is>
      </c>
      <c r="Y72" s="10" t="inlineStr">
        <is>
          <t>玄武岩 海洋 後期白亜紀付加体</t>
        </is>
      </c>
      <c r="Z72" s="10" t="inlineStr">
        <is>
          <t>basalt oceanic Late Cretaceous accretionary complex</t>
        </is>
      </c>
      <c r="AA72" s="10" t="inlineStr">
        <is>
          <t>付加体</t>
        </is>
      </c>
      <c r="AB72" s="10" t="inlineStr">
        <is>
          <t>Accretionary complexes</t>
        </is>
      </c>
      <c r="AC72" s="10" t="inlineStr">
        <is>
          <t>Accretionary Complex</t>
        </is>
      </c>
    </row>
    <row r="73">
      <c r="A73" s="5" t="inlineStr">
        <is>
          <t>m200k_NI-54-31_u072</t>
        </is>
      </c>
      <c r="B73" s="6" t="inlineStr">
        <is>
          <t>col_6</t>
        </is>
      </c>
      <c r="C73" s="6" t="n">
        <v>17</v>
      </c>
      <c r="D73" s="7" t="inlineStr">
        <is>
          <t>Turonian Limestone (Kofu Accretionary)</t>
        </is>
      </c>
      <c r="E73" s="5" t="inlineStr">
        <is>
          <t>Kofu Accretionary Complex</t>
        </is>
      </c>
      <c r="F73" s="6" t="inlineStr">
        <is>
          <t>Turonian</t>
        </is>
      </c>
      <c r="G73" s="8" t="n">
        <v>89.8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Tithonian</t>
        </is>
      </c>
      <c r="J73" s="8" t="n">
        <v>149.2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limestone</t>
        </is>
      </c>
      <c r="M73" s="5" t="inlineStr"/>
      <c r="N73" s="5" t="inlineStr">
        <is>
          <t>marine</t>
        </is>
      </c>
      <c r="O73" s="5" t="inlineStr">
        <is>
          <t>Mesozoic Late Jurassic Tithonian - Late Cretaceous Turonian; marine limestone Late Cretaceous accretionary complex [Accretionary Complex]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J33-K212_sol_K2</t>
        </is>
      </c>
      <c r="U73" s="5" t="inlineStr"/>
      <c r="V73" s="10" t="inlineStr">
        <is>
          <t>J33-K212_sol_K2</t>
        </is>
      </c>
      <c r="W73" s="10" t="inlineStr">
        <is>
          <t>中生代 後期ジュラ紀 チトニアン期〜後期白亜紀 チューロニアン期</t>
        </is>
      </c>
      <c r="X73" s="10" t="inlineStr">
        <is>
          <t>Mesozoic Late Jurassic Tithonian - Late Cretaceous Turonian</t>
        </is>
      </c>
      <c r="Y73" s="10" t="inlineStr">
        <is>
          <t>海成層 石灰岩 後期白亜紀付加体</t>
        </is>
      </c>
      <c r="Z73" s="10" t="inlineStr">
        <is>
          <t>marine limestone Late Cretaceous accretionary complex</t>
        </is>
      </c>
      <c r="AA73" s="10" t="inlineStr">
        <is>
          <t>付加体</t>
        </is>
      </c>
      <c r="AB73" s="10" t="inlineStr">
        <is>
          <t>Accretionary complexes</t>
        </is>
      </c>
      <c r="AC73" s="10" t="inlineStr">
        <is>
          <t>Accretionary Complex</t>
        </is>
      </c>
    </row>
    <row r="74">
      <c r="A74" s="5" t="inlineStr">
        <is>
          <t>m200k_NI-54-31_u074</t>
        </is>
      </c>
      <c r="B74" s="6" t="inlineStr">
        <is>
          <t>col_6</t>
        </is>
      </c>
      <c r="C74" s="6" t="n">
        <v>18</v>
      </c>
      <c r="D74" s="7" t="inlineStr">
        <is>
          <t>Turonian Chert (Kofu Accretionary)</t>
        </is>
      </c>
      <c r="E74" s="5" t="inlineStr">
        <is>
          <t>Kofu Accretionary Complex</t>
        </is>
      </c>
      <c r="F74" s="6" t="inlineStr">
        <is>
          <t>Turonian</t>
        </is>
      </c>
      <c r="G74" s="8" t="n">
        <v>89.8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Tithonian</t>
        </is>
      </c>
      <c r="J74" s="8" t="n">
        <v>149.2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chert</t>
        </is>
      </c>
      <c r="M74" s="5" t="inlineStr"/>
      <c r="N74" s="5" t="inlineStr">
        <is>
          <t>marine</t>
        </is>
      </c>
      <c r="O74" s="5" t="inlineStr">
        <is>
          <t>Mesozoic Late Jurassic Tithonian - Late Cretaceous Turonian; chert Late Cretaceous accretionary complex [Accretionary Complex]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J33-K212_soh_K2</t>
        </is>
      </c>
      <c r="U74" s="5" t="inlineStr"/>
      <c r="V74" s="10" t="inlineStr">
        <is>
          <t>J33-K212_soh_K2</t>
        </is>
      </c>
      <c r="W74" s="10" t="inlineStr">
        <is>
          <t>中生代 後期ジュラ紀 チトニアン期〜後期白亜紀 チューロニアン期</t>
        </is>
      </c>
      <c r="X74" s="10" t="inlineStr">
        <is>
          <t>Mesozoic Late Jurassic Tithonian - Late Cretaceous Turonian</t>
        </is>
      </c>
      <c r="Y74" s="10" t="inlineStr">
        <is>
          <t>チャート 後期白亜紀付加体</t>
        </is>
      </c>
      <c r="Z74" s="10" t="inlineStr">
        <is>
          <t>chert Late Cretaceous accretionary complex</t>
        </is>
      </c>
      <c r="AA74" s="10" t="inlineStr">
        <is>
          <t>付加体</t>
        </is>
      </c>
      <c r="AB74" s="10" t="inlineStr">
        <is>
          <t>Accretionary complexes</t>
        </is>
      </c>
      <c r="AC74" s="10" t="inlineStr">
        <is>
          <t>Accretionary Complex</t>
        </is>
      </c>
    </row>
    <row r="75">
      <c r="A75" s="5" t="inlineStr">
        <is>
          <t>m200k_NI-54-31_u056</t>
        </is>
      </c>
      <c r="B75" s="6" t="inlineStr">
        <is>
          <t>col_6</t>
        </is>
      </c>
      <c r="C75" s="6" t="n">
        <v>19</v>
      </c>
      <c r="D75" s="7" t="inlineStr">
        <is>
          <t>Turonian Sandstone (Kofu Accretionary)</t>
        </is>
      </c>
      <c r="E75" s="5" t="inlineStr">
        <is>
          <t>Kofu Accretionary Complex</t>
        </is>
      </c>
      <c r="F75" s="6" t="inlineStr">
        <is>
          <t>Turonian</t>
        </is>
      </c>
      <c r="G75" s="8" t="n">
        <v>89.8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Aptian</t>
        </is>
      </c>
      <c r="J75" s="8" t="n">
        <v>121.4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sandstone</t>
        </is>
      </c>
      <c r="M75" s="5" t="inlineStr"/>
      <c r="N75" s="5" t="inlineStr">
        <is>
          <t>marine</t>
        </is>
      </c>
      <c r="O75" s="5" t="inlineStr">
        <is>
          <t>Mesozoic Early Cretaceous Aptian - Late Cretaceous Turonian; marine sandstone late Early to early Late Cretaceous accretionary complex [Accretionary Complex]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K12-212_soss_K1</t>
        </is>
      </c>
      <c r="U75" s="5" t="inlineStr"/>
      <c r="V75" s="10" t="inlineStr">
        <is>
          <t>K12-212_soss_K1</t>
        </is>
      </c>
      <c r="W75" s="10" t="inlineStr">
        <is>
          <t>中生代 前期白亜紀 アプチアン期〜後期白亜紀 チューロニアン期</t>
        </is>
      </c>
      <c r="X75" s="10" t="inlineStr">
        <is>
          <t>Mesozoic Early Cretaceous Aptian - Late Cretaceous Turonian</t>
        </is>
      </c>
      <c r="Y75" s="10" t="inlineStr">
        <is>
          <t>海成層 砂岩 前期白亜紀後期-後期白亜紀前期付加体</t>
        </is>
      </c>
      <c r="Z75" s="10" t="inlineStr">
        <is>
          <t>marine sandstone late Early to early Late Cretaceous accretionary complex</t>
        </is>
      </c>
      <c r="AA75" s="10" t="inlineStr">
        <is>
          <t>付加体</t>
        </is>
      </c>
      <c r="AB75" s="10" t="inlineStr">
        <is>
          <t>Accretionary complexes</t>
        </is>
      </c>
      <c r="AC75" s="10" t="inlineStr">
        <is>
          <t>Accretionary Complex</t>
        </is>
      </c>
    </row>
    <row r="76">
      <c r="A76" s="5" t="inlineStr">
        <is>
          <t>m200k_NI-54-31_u071</t>
        </is>
      </c>
      <c r="B76" s="6" t="inlineStr">
        <is>
          <t>col_6</t>
        </is>
      </c>
      <c r="C76" s="6" t="n">
        <v>20</v>
      </c>
      <c r="D76" s="7" t="inlineStr">
        <is>
          <t>Turonian Sandstone (Kofu Accretionary)</t>
        </is>
      </c>
      <c r="E76" s="5" t="inlineStr">
        <is>
          <t>Kofu Accretionary Complex</t>
        </is>
      </c>
      <c r="F76" s="6" t="inlineStr">
        <is>
          <t>Turonian</t>
        </is>
      </c>
      <c r="G76" s="8" t="n">
        <v>89.8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Aptian</t>
        </is>
      </c>
      <c r="J76" s="8" t="n">
        <v>121.4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sandstone</t>
        </is>
      </c>
      <c r="M76" s="5" t="inlineStr">
        <is>
          <t>mudstone</t>
        </is>
      </c>
      <c r="N76" s="5" t="inlineStr">
        <is>
          <t>marine</t>
        </is>
      </c>
      <c r="O76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K12-212_somas_K1</t>
        </is>
      </c>
      <c r="U76" s="5" t="inlineStr"/>
      <c r="V76" s="10" t="inlineStr">
        <is>
          <t>K12-212_somas_K1</t>
        </is>
      </c>
      <c r="W76" s="10" t="inlineStr">
        <is>
          <t>中生代 前期白亜紀 アプチアン期〜後期白亜紀 チューロニアン期</t>
        </is>
      </c>
      <c r="X76" s="10" t="inlineStr">
        <is>
          <t>Mesozoic Early Cretaceous Aptian - Late Cretaceous Turonian</t>
        </is>
      </c>
      <c r="Y76" s="10" t="inlineStr">
        <is>
          <t>砂岩泥岩互層 前期白亜紀後期-後期白亜紀前期付加体</t>
        </is>
      </c>
      <c r="Z76" s="10" t="inlineStr">
        <is>
          <t>sandstone-predominant alternation of sandstone &amp; mudstone late Early to early Late Cretaceous accretionary complex</t>
        </is>
      </c>
      <c r="AA76" s="10" t="inlineStr">
        <is>
          <t>付加体</t>
        </is>
      </c>
      <c r="AB76" s="10" t="inlineStr">
        <is>
          <t>Accretionary complexes</t>
        </is>
      </c>
      <c r="AC76" s="10" t="inlineStr">
        <is>
          <t>Accretionary Complex</t>
        </is>
      </c>
    </row>
    <row r="77">
      <c r="A77" s="5" t="inlineStr">
        <is>
          <t>m200k_NI-54-31_u063</t>
        </is>
      </c>
      <c r="B77" s="6" t="inlineStr">
        <is>
          <t>col_6</t>
        </is>
      </c>
      <c r="C77" s="6" t="n">
        <v>21</v>
      </c>
      <c r="D77" s="7" t="inlineStr">
        <is>
          <t>Maastrichtian Sandstone (Kofu Accretionary)</t>
        </is>
      </c>
      <c r="E77" s="5" t="inlineStr">
        <is>
          <t>Kofu Accretionary Complex</t>
        </is>
      </c>
      <c r="F77" s="6" t="inlineStr">
        <is>
          <t>Maastrichtian</t>
        </is>
      </c>
      <c r="G77" s="8" t="n">
        <v>66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Turonian</t>
        </is>
      </c>
      <c r="J77" s="8" t="n">
        <v>93.90000000000001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sandstone</t>
        </is>
      </c>
      <c r="M77" s="5" t="inlineStr"/>
      <c r="N77" s="5" t="inlineStr">
        <is>
          <t>marine</t>
        </is>
      </c>
      <c r="O77" s="5" t="inlineStr">
        <is>
          <t>Mesozoic Late Cretaceous Turonian - Maastrichtian; marine sandstone Late Cretaceous accretionary complex [Accretionary Complex]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K212-22_soss_K2</t>
        </is>
      </c>
      <c r="U77" s="5" t="inlineStr"/>
      <c r="V77" s="10" t="inlineStr">
        <is>
          <t>K212-22_soss_K2</t>
        </is>
      </c>
      <c r="W77" s="10" t="inlineStr">
        <is>
          <t>中生代 後期白亜紀 チューロニアン期〜マーストリヒチアン期</t>
        </is>
      </c>
      <c r="X77" s="10" t="inlineStr">
        <is>
          <t>Mesozoic Late Cretaceous Turonian - Maastrichtian</t>
        </is>
      </c>
      <c r="Y77" s="10" t="inlineStr">
        <is>
          <t>海成層 砂岩 後期白亜紀付加体</t>
        </is>
      </c>
      <c r="Z77" s="10" t="inlineStr">
        <is>
          <t>marine sandstone Late Cretaceous accretionary complex</t>
        </is>
      </c>
      <c r="AA77" s="10" t="inlineStr">
        <is>
          <t>付加体</t>
        </is>
      </c>
      <c r="AB77" s="10" t="inlineStr">
        <is>
          <t>Accretionary complexes</t>
        </is>
      </c>
      <c r="AC77" s="10" t="inlineStr">
        <is>
          <t>Accretionary Complex</t>
        </is>
      </c>
    </row>
    <row r="78">
      <c r="A78" s="5" t="inlineStr">
        <is>
          <t>m200k_NI-54-31_u065</t>
        </is>
      </c>
      <c r="B78" s="6" t="inlineStr">
        <is>
          <t>col_6</t>
        </is>
      </c>
      <c r="C78" s="6" t="n">
        <v>22</v>
      </c>
      <c r="D78" s="7" t="inlineStr">
        <is>
          <t>Maastrichtian Sedimentary (Kofu Accretionary)</t>
        </is>
      </c>
      <c r="E78" s="5" t="inlineStr">
        <is>
          <t>Kofu Accretionary Complex</t>
        </is>
      </c>
      <c r="F78" s="6" t="inlineStr">
        <is>
          <t>Maastrichtian</t>
        </is>
      </c>
      <c r="G78" s="8" t="n">
        <v>66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Turonian</t>
        </is>
      </c>
      <c r="J78" s="8" t="n">
        <v>93.90000000000001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sedimentary</t>
        </is>
      </c>
      <c r="M78" s="5" t="inlineStr"/>
      <c r="N78" s="5" t="inlineStr">
        <is>
          <t>marine</t>
        </is>
      </c>
      <c r="O78" s="5" t="inlineStr">
        <is>
          <t>Mesozoic Late Cretaceous Turonian - Maastrichtian; mixed rock Late Cretaceous accretionary complex [Accretionary Complex]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K212-22_sx_K2</t>
        </is>
      </c>
      <c r="U78" s="5" t="inlineStr"/>
      <c r="V78" s="10" t="inlineStr">
        <is>
          <t>K212-22_sx_K2</t>
        </is>
      </c>
      <c r="W78" s="10" t="inlineStr">
        <is>
          <t>中生代 後期白亜紀 チューロニアン期〜マーストリヒチアン期</t>
        </is>
      </c>
      <c r="X78" s="10" t="inlineStr">
        <is>
          <t>Mesozoic Late Cretaceous Turonian - Maastrichtian</t>
        </is>
      </c>
      <c r="Y78" s="10" t="inlineStr">
        <is>
          <t>混在岩 後期白亜紀付加体</t>
        </is>
      </c>
      <c r="Z78" s="10" t="inlineStr">
        <is>
          <t>mixed rock Late Cretaceous accretionary complex</t>
        </is>
      </c>
      <c r="AA78" s="10" t="inlineStr">
        <is>
          <t>付加体</t>
        </is>
      </c>
      <c r="AB78" s="10" t="inlineStr">
        <is>
          <t>Accretionary complexes</t>
        </is>
      </c>
      <c r="AC78" s="10" t="inlineStr">
        <is>
          <t>Accretionary Complex</t>
        </is>
      </c>
    </row>
    <row r="79">
      <c r="A79" s="5" t="inlineStr">
        <is>
          <t>m200k_NI-54-31_u066</t>
        </is>
      </c>
      <c r="B79" s="6" t="inlineStr">
        <is>
          <t>col_6</t>
        </is>
      </c>
      <c r="C79" s="6" t="n">
        <v>23</v>
      </c>
      <c r="D79" s="7" t="inlineStr">
        <is>
          <t>Maastrichtian Sandstone (Kofu Accretionary)</t>
        </is>
      </c>
      <c r="E79" s="5" t="inlineStr">
        <is>
          <t>Kofu Accretionary Complex</t>
        </is>
      </c>
      <c r="F79" s="6" t="inlineStr">
        <is>
          <t>Maastrichtian</t>
        </is>
      </c>
      <c r="G79" s="8" t="n">
        <v>66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Turonian</t>
        </is>
      </c>
      <c r="J79" s="8" t="n">
        <v>93.90000000000001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sandstone</t>
        </is>
      </c>
      <c r="M79" s="5" t="inlineStr">
        <is>
          <t>mudstone</t>
        </is>
      </c>
      <c r="N79" s="5" t="inlineStr">
        <is>
          <t>marine</t>
        </is>
      </c>
      <c r="O79" s="5" t="inlineStr">
        <is>
          <t>Mesozoic Late Cretaceous Turonian - Maastrichtian; sandstone-predominant alternation of sandstone &amp; mudstone Late Cretaceous accretionary complex [Accretionary Complex]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K212-22_somas_K2</t>
        </is>
      </c>
      <c r="U79" s="5" t="inlineStr"/>
      <c r="V79" s="10" t="inlineStr">
        <is>
          <t>K212-22_somas_K2</t>
        </is>
      </c>
      <c r="W79" s="10" t="inlineStr">
        <is>
          <t>中生代 後期白亜紀 チューロニアン期〜マーストリヒチアン期</t>
        </is>
      </c>
      <c r="X79" s="10" t="inlineStr">
        <is>
          <t>Mesozoic Late Cretaceous Turonian - Maastrichtian</t>
        </is>
      </c>
      <c r="Y79" s="10" t="inlineStr">
        <is>
          <t>砂岩泥岩互層 後期白亜紀付加体</t>
        </is>
      </c>
      <c r="Z79" s="10" t="inlineStr">
        <is>
          <t>sandstone-predominant alternation of sandstone &amp; mudstone Late Cretaceous accretionary complex</t>
        </is>
      </c>
      <c r="AA79" s="10" t="inlineStr">
        <is>
          <t>付加体</t>
        </is>
      </c>
      <c r="AB79" s="10" t="inlineStr">
        <is>
          <t>Accretionary complexes</t>
        </is>
      </c>
      <c r="AC79" s="10" t="inlineStr">
        <is>
          <t>Accretionary Complex</t>
        </is>
      </c>
    </row>
    <row r="80">
      <c r="A80" s="5" t="inlineStr">
        <is>
          <t>m200k_NI-54-31_u068</t>
        </is>
      </c>
      <c r="B80" s="6" t="inlineStr">
        <is>
          <t>col_6</t>
        </is>
      </c>
      <c r="C80" s="6" t="n">
        <v>24</v>
      </c>
      <c r="D80" s="7" t="inlineStr">
        <is>
          <t>Maastrichtian Sandstone (Kofu Accretionary)</t>
        </is>
      </c>
      <c r="E80" s="5" t="inlineStr">
        <is>
          <t>Kofu Accretionary Complex</t>
        </is>
      </c>
      <c r="F80" s="6" t="inlineStr">
        <is>
          <t>Maastrichtian</t>
        </is>
      </c>
      <c r="G80" s="8" t="n">
        <v>66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Turonian</t>
        </is>
      </c>
      <c r="J80" s="8" t="n">
        <v>93.90000000000001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sandstone</t>
        </is>
      </c>
      <c r="M80" s="5" t="inlineStr">
        <is>
          <t>mudstone</t>
        </is>
      </c>
      <c r="N80" s="5" t="inlineStr">
        <is>
          <t>marine</t>
        </is>
      </c>
      <c r="O80" s="5" t="inlineStr">
        <is>
          <t>Mesozoic Late Cretaceous Turonian - Maastrichtian; mandstone-predominant alternation of   sandstone &amp; mudstone Late Cretaceous accretionary complex [Accretionary Complex]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K212-22_somam_K2</t>
        </is>
      </c>
      <c r="U80" s="5" t="inlineStr"/>
      <c r="V80" s="10" t="inlineStr">
        <is>
          <t>K212-22_somam_K2</t>
        </is>
      </c>
      <c r="W80" s="10" t="inlineStr">
        <is>
          <t>中生代 後期白亜紀 チューロニアン期〜マーストリヒチアン期</t>
        </is>
      </c>
      <c r="X80" s="10" t="inlineStr">
        <is>
          <t>Mesozoic Late Cretaceous Turonian - Maastrichtian</t>
        </is>
      </c>
      <c r="Y80" s="10" t="inlineStr">
        <is>
          <t>泥岩砂岩互層 後期白亜紀付加体</t>
        </is>
      </c>
      <c r="Z80" s="10" t="inlineStr">
        <is>
          <t>mandstone-predominant alternation of   sandstone &amp; mudstone Late Cretaceous accretionary complex</t>
        </is>
      </c>
      <c r="AA80" s="10" t="inlineStr">
        <is>
          <t>付加体</t>
        </is>
      </c>
      <c r="AB80" s="10" t="inlineStr">
        <is>
          <t>Accretionary complexes</t>
        </is>
      </c>
      <c r="AC80" s="10" t="inlineStr">
        <is>
          <t>Accretionary Complex</t>
        </is>
      </c>
    </row>
    <row r="81">
      <c r="A81" s="5" t="inlineStr">
        <is>
          <t>m200k_NI-54-31_u078</t>
        </is>
      </c>
      <c r="B81" s="6" t="inlineStr">
        <is>
          <t>col_6</t>
        </is>
      </c>
      <c r="C81" s="6" t="n">
        <v>25</v>
      </c>
      <c r="D81" s="7" t="inlineStr">
        <is>
          <t>Maastrichtian Mudstone (Kofu Accretionary)</t>
        </is>
      </c>
      <c r="E81" s="5" t="inlineStr">
        <is>
          <t>Kofu Accretionary Complex</t>
        </is>
      </c>
      <c r="F81" s="6" t="inlineStr">
        <is>
          <t>Maastrichtian</t>
        </is>
      </c>
      <c r="G81" s="8" t="n">
        <v>66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Turonian</t>
        </is>
      </c>
      <c r="J81" s="8" t="n">
        <v>93.90000000000001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mudstone</t>
        </is>
      </c>
      <c r="M81" s="5" t="inlineStr"/>
      <c r="N81" s="5" t="inlineStr">
        <is>
          <t>marine</t>
        </is>
      </c>
      <c r="O81" s="5" t="inlineStr">
        <is>
          <t>Mesozoic Late Cretaceous Turonian - Maastrichtian; marine mudstone Late Cretaceous accretionary complex [Accretionary Complex]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K212-22_som_K2</t>
        </is>
      </c>
      <c r="U81" s="5" t="inlineStr"/>
      <c r="V81" s="10" t="inlineStr">
        <is>
          <t>K212-22_som_K2</t>
        </is>
      </c>
      <c r="W81" s="10" t="inlineStr">
        <is>
          <t>中生代 後期白亜紀 チューロニアン期〜マーストリヒチアン期</t>
        </is>
      </c>
      <c r="X81" s="10" t="inlineStr">
        <is>
          <t>Mesozoic Late Cretaceous Turonian - Maastrichtian</t>
        </is>
      </c>
      <c r="Y81" s="10" t="inlineStr">
        <is>
          <t>海成層 泥岩 後期白亜紀付加体</t>
        </is>
      </c>
      <c r="Z81" s="10" t="inlineStr">
        <is>
          <t>marine mudstone Late Cretaceous accretionary complex</t>
        </is>
      </c>
      <c r="AA81" s="10" t="inlineStr">
        <is>
          <t>付加体</t>
        </is>
      </c>
      <c r="AB81" s="10" t="inlineStr">
        <is>
          <t>Accretionary complexes</t>
        </is>
      </c>
      <c r="AC81" s="10" t="inlineStr">
        <is>
          <t>Accretionary Complex</t>
        </is>
      </c>
    </row>
    <row r="82">
      <c r="A82" s="5" t="inlineStr">
        <is>
          <t>m200k_NI-54-31_u079</t>
        </is>
      </c>
      <c r="B82" s="6" t="inlineStr">
        <is>
          <t>col_6</t>
        </is>
      </c>
      <c r="C82" s="6" t="n">
        <v>26</v>
      </c>
      <c r="D82" s="7" t="inlineStr">
        <is>
          <t>Maastrichtian Conglomerate (Kofu Accretionary)</t>
        </is>
      </c>
      <c r="E82" s="5" t="inlineStr">
        <is>
          <t>Kofu Accretionary Complex</t>
        </is>
      </c>
      <c r="F82" s="6" t="inlineStr">
        <is>
          <t>Maastrichtian</t>
        </is>
      </c>
      <c r="G82" s="8" t="n">
        <v>66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Turonian</t>
        </is>
      </c>
      <c r="J82" s="8" t="n">
        <v>93.90000000000001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conglomerate</t>
        </is>
      </c>
      <c r="M82" s="5" t="inlineStr"/>
      <c r="N82" s="5" t="inlineStr">
        <is>
          <t>marine</t>
        </is>
      </c>
      <c r="O82" s="5" t="inlineStr">
        <is>
          <t>Mesozoic Late Cretaceous Turonian - Maastrichtian; marine conglomerate Late Cretaceous accretionary complex [Accretionary Complex]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K212-22_soc_K2</t>
        </is>
      </c>
      <c r="U82" s="5" t="inlineStr"/>
      <c r="V82" s="10" t="inlineStr">
        <is>
          <t>K212-22_soc_K2</t>
        </is>
      </c>
      <c r="W82" s="10" t="inlineStr">
        <is>
          <t>中生代 後期白亜紀 チューロニアン期〜マーストリヒチアン期</t>
        </is>
      </c>
      <c r="X82" s="10" t="inlineStr">
        <is>
          <t>Mesozoic Late Cretaceous Turonian - Maastrichtian</t>
        </is>
      </c>
      <c r="Y82" s="10" t="inlineStr">
        <is>
          <t>海成層 礫岩 後期白亜紀付加体</t>
        </is>
      </c>
      <c r="Z82" s="10" t="inlineStr">
        <is>
          <t>marine conglomerate Late Cretaceous accretionary complex</t>
        </is>
      </c>
      <c r="AA82" s="10" t="inlineStr">
        <is>
          <t>付加体</t>
        </is>
      </c>
      <c r="AB82" s="10" t="inlineStr">
        <is>
          <t>Accretionary complexes</t>
        </is>
      </c>
      <c r="AC82" s="10" t="inlineStr">
        <is>
          <t>Accretionary Complex</t>
        </is>
      </c>
    </row>
    <row r="83">
      <c r="A83" s="5" t="inlineStr">
        <is>
          <t>m200k_NI-54-31_u094</t>
        </is>
      </c>
      <c r="B83" s="6" t="inlineStr">
        <is>
          <t>col_6</t>
        </is>
      </c>
      <c r="C83" s="6" t="n">
        <v>27</v>
      </c>
      <c r="D83" s="7" t="inlineStr">
        <is>
          <t>Bartonian Gabbro (Kofu Accretionary)</t>
        </is>
      </c>
      <c r="E83" s="5" t="inlineStr">
        <is>
          <t>Kofu Accretionary Complex</t>
        </is>
      </c>
      <c r="F83" s="6" t="inlineStr">
        <is>
          <t>Bartonian</t>
        </is>
      </c>
      <c r="G83" s="8" t="n">
        <v>37.71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Thanetian</t>
        </is>
      </c>
      <c r="J83" s="8" t="n">
        <v>59.24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gabbro</t>
        </is>
      </c>
      <c r="M83" s="5" t="inlineStr">
        <is>
          <t>diorite</t>
        </is>
      </c>
      <c r="N83" s="5" t="inlineStr">
        <is>
          <t>marine</t>
        </is>
      </c>
      <c r="O83" s="5" t="inlineStr">
        <is>
          <t>Cenozoic Paleogene Paleocene Thanetian - Eocene Bartonian; Gabbro, diorite &amp; quartz diorite oceanic late Oligocene to middle Miocene accretionary complex [Accretionary Complex]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Pg13-22_pb_o_Pg4</t>
        </is>
      </c>
      <c r="U83" s="5" t="inlineStr"/>
      <c r="V83" s="10" t="inlineStr">
        <is>
          <t>Pg13-22_pb_o_Pg4</t>
        </is>
      </c>
      <c r="W83" s="10" t="inlineStr">
        <is>
          <t>新生代 古第三紀 暁新世 サネティアン期〜始新世 バートニアン期</t>
        </is>
      </c>
      <c r="X83" s="10" t="inlineStr">
        <is>
          <t>Cenozoic Paleogene Paleocene Thanetian - Eocene Bartonian</t>
        </is>
      </c>
      <c r="Y83" s="10" t="inlineStr">
        <is>
          <t>斑れい岩・閃緑岩・石英閃緑岩 海洋 後期漸新世-中期中新世前期付加体</t>
        </is>
      </c>
      <c r="Z83" s="10" t="inlineStr">
        <is>
          <t>Gabbro, diorite &amp; quartz diorite oceanic late Oligocene to middle Miocene accretionary complex</t>
        </is>
      </c>
      <c r="AA83" s="10" t="inlineStr">
        <is>
          <t>付加体</t>
        </is>
      </c>
      <c r="AB83" s="10" t="inlineStr">
        <is>
          <t>Accretionary complexes</t>
        </is>
      </c>
      <c r="AC83" s="10" t="inlineStr">
        <is>
          <t>Accretionary Complex</t>
        </is>
      </c>
    </row>
    <row r="84">
      <c r="A84" s="5" t="inlineStr">
        <is>
          <t>m200k_NI-54-31_u096</t>
        </is>
      </c>
      <c r="B84" s="6" t="inlineStr">
        <is>
          <t>col_6</t>
        </is>
      </c>
      <c r="C84" s="6" t="n">
        <v>28</v>
      </c>
      <c r="D84" s="7" t="inlineStr">
        <is>
          <t>Bartonian Sedimentary (Kofu Accretionary)</t>
        </is>
      </c>
      <c r="E84" s="5" t="inlineStr">
        <is>
          <t>Kofu Accretionary Complex</t>
        </is>
      </c>
      <c r="F84" s="6" t="inlineStr">
        <is>
          <t>Bartonian</t>
        </is>
      </c>
      <c r="G84" s="8" t="n">
        <v>37.71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Thanetian</t>
        </is>
      </c>
      <c r="J84" s="8" t="n">
        <v>59.24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sedimentary</t>
        </is>
      </c>
      <c r="M84" s="5" t="inlineStr"/>
      <c r="N84" s="5" t="inlineStr">
        <is>
          <t>marine</t>
        </is>
      </c>
      <c r="O84" s="5" t="inlineStr">
        <is>
          <t>Cenozoic Paleogene Paleocene Thanetian - Eocene Bartonian; ultramafic rocks oceanic late Oligocene to middle Miocene accretionary complex [Accretionary Complex]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Pg13-22_pu_o_Pg4</t>
        </is>
      </c>
      <c r="U84" s="5" t="inlineStr"/>
      <c r="V84" s="10" t="inlineStr">
        <is>
          <t>Pg13-22_pu_o_Pg4</t>
        </is>
      </c>
      <c r="W84" s="10" t="inlineStr">
        <is>
          <t>新生代 古第三紀 暁新世 サネティアン期〜始新世 バートニアン期</t>
        </is>
      </c>
      <c r="X84" s="10" t="inlineStr">
        <is>
          <t>Cenozoic Paleogene Paleocene Thanetian - Eocene Bartonian</t>
        </is>
      </c>
      <c r="Y84" s="10" t="inlineStr">
        <is>
          <t>超苦鉄質岩類 海洋 後期漸新世-中期中新世前期付加体</t>
        </is>
      </c>
      <c r="Z84" s="10" t="inlineStr">
        <is>
          <t>ultramafic rocks oceanic late Oligocene to middle Miocene accretionary complex</t>
        </is>
      </c>
      <c r="AA84" s="10" t="inlineStr">
        <is>
          <t>付加体</t>
        </is>
      </c>
      <c r="AB84" s="10" t="inlineStr">
        <is>
          <t>Accretionary complexes</t>
        </is>
      </c>
      <c r="AC84" s="10" t="inlineStr">
        <is>
          <t>Accretionary Complex</t>
        </is>
      </c>
    </row>
    <row r="85">
      <c r="A85" s="5" t="inlineStr">
        <is>
          <t>m200k_NI-54-31_u077</t>
        </is>
      </c>
      <c r="B85" s="6" t="inlineStr">
        <is>
          <t>col_6</t>
        </is>
      </c>
      <c r="C85" s="6" t="n">
        <v>29</v>
      </c>
      <c r="D85" s="7" t="inlineStr">
        <is>
          <t>Rupelian Mudstone (Kofu Accretionary)</t>
        </is>
      </c>
      <c r="E85" s="5" t="inlineStr">
        <is>
          <t>Kofu Accretionary Complex</t>
        </is>
      </c>
      <c r="F85" s="6" t="inlineStr">
        <is>
          <t>Rupelian</t>
        </is>
      </c>
      <c r="G85" s="8" t="n">
        <v>27.3</v>
      </c>
      <c r="H85" s="9">
        <f>IF(OR($F85="",$G85=""),"",IFERROR((VLOOKUP($F85,intervals!$A:$C,2,FALSE)-$G85)/(VLOOKUP($F85,intervals!$A:$C,2,FALSE)-VLOOKUP($F85,intervals!$A:$C,3,FALSE)),""))</f>
        <v/>
      </c>
      <c r="I85" s="6" t="inlineStr">
        <is>
          <t>Ypresian</t>
        </is>
      </c>
      <c r="J85" s="8" t="n">
        <v>56</v>
      </c>
      <c r="K85" s="9">
        <f>IF(OR($I85="",$J85=""),"",IFERROR((VLOOKUP($I85,intervals!$A:$C,2,FALSE)-$J85)/(VLOOKUP($I85,intervals!$A:$C,2,FALSE)-VLOOKUP($I85,intervals!$A:$C,3,FALSE)),""))</f>
        <v/>
      </c>
      <c r="L85" s="7" t="inlineStr">
        <is>
          <t>mudstone</t>
        </is>
      </c>
      <c r="M85" s="5" t="inlineStr"/>
      <c r="N85" s="5" t="inlineStr">
        <is>
          <t>marine</t>
        </is>
      </c>
      <c r="O85" s="5" t="inlineStr">
        <is>
          <t>Cenozoic Paleogene Eocene Ypresian - Oligocene Rupelian; marine mudstone Eocene to early Oligocene accretionary complex [Accretionary Complex]</t>
        </is>
      </c>
      <c r="P85" s="5" t="inlineStr"/>
      <c r="Q85" s="5" t="inlineStr"/>
      <c r="R85" s="5" t="inlineStr">
        <is>
          <t>unknown</t>
        </is>
      </c>
      <c r="S85" s="5" t="inlineStr"/>
      <c r="T85" s="5" t="inlineStr">
        <is>
          <t>GSJ 200k Seamless Pg14-3_som_Pg2</t>
        </is>
      </c>
      <c r="U85" s="5" t="inlineStr"/>
      <c r="V85" s="10" t="inlineStr">
        <is>
          <t>Pg14-3_som_Pg2</t>
        </is>
      </c>
      <c r="W85" s="10" t="inlineStr">
        <is>
          <t>新生代 古第三紀 始新世 イプレシアン期〜漸新世 ルペリアン期</t>
        </is>
      </c>
      <c r="X85" s="10" t="inlineStr">
        <is>
          <t>Cenozoic Paleogene Eocene Ypresian - Oligocene Rupelian</t>
        </is>
      </c>
      <c r="Y85" s="10" t="inlineStr">
        <is>
          <t>海成層 泥岩 始新世-前期漸新世付加体</t>
        </is>
      </c>
      <c r="Z85" s="10" t="inlineStr">
        <is>
          <t>marine mudstone Eocene to early Oligocene accretionary complex</t>
        </is>
      </c>
      <c r="AA85" s="10" t="inlineStr">
        <is>
          <t>付加体</t>
        </is>
      </c>
      <c r="AB85" s="10" t="inlineStr">
        <is>
          <t>Accretionary complexes</t>
        </is>
      </c>
      <c r="AC85" s="10" t="inlineStr">
        <is>
          <t>Accretionary Complex</t>
        </is>
      </c>
    </row>
    <row r="86">
      <c r="A86" s="5" t="inlineStr">
        <is>
          <t>m200k_NI-54-31_u080</t>
        </is>
      </c>
      <c r="B86" s="6" t="inlineStr">
        <is>
          <t>col_6</t>
        </is>
      </c>
      <c r="C86" s="6" t="n">
        <v>30</v>
      </c>
      <c r="D86" s="7" t="inlineStr">
        <is>
          <t>Rupelian Sandstone (Kofu Accretionary)</t>
        </is>
      </c>
      <c r="E86" s="5" t="inlineStr">
        <is>
          <t>Kofu Accretionary Complex</t>
        </is>
      </c>
      <c r="F86" s="6" t="inlineStr">
        <is>
          <t>Rupelian</t>
        </is>
      </c>
      <c r="G86" s="8" t="n">
        <v>27.3</v>
      </c>
      <c r="H86" s="9">
        <f>IF(OR($F86="",$G86=""),"",IFERROR((VLOOKUP($F86,intervals!$A:$C,2,FALSE)-$G86)/(VLOOKUP($F86,intervals!$A:$C,2,FALSE)-VLOOKUP($F86,intervals!$A:$C,3,FALSE)),""))</f>
        <v/>
      </c>
      <c r="I86" s="6" t="inlineStr">
        <is>
          <t>Ypresian</t>
        </is>
      </c>
      <c r="J86" s="8" t="n">
        <v>56</v>
      </c>
      <c r="K86" s="9">
        <f>IF(OR($I86="",$J86=""),"",IFERROR((VLOOKUP($I86,intervals!$A:$C,2,FALSE)-$J86)/(VLOOKUP($I86,intervals!$A:$C,2,FALSE)-VLOOKUP($I86,intervals!$A:$C,3,FALSE)),""))</f>
        <v/>
      </c>
      <c r="L86" s="7" t="inlineStr">
        <is>
          <t>sandstone</t>
        </is>
      </c>
      <c r="M86" s="5" t="inlineStr"/>
      <c r="N86" s="5" t="inlineStr">
        <is>
          <t>marine</t>
        </is>
      </c>
      <c r="O86" s="5" t="inlineStr">
        <is>
          <t>Cenozoic Paleogene Eocene Ypresian - Oligocene Rupelian; marine sandstone Eocene to early Oligocene accretionary complex [Accretionary Complex]</t>
        </is>
      </c>
      <c r="P86" s="5" t="inlineStr"/>
      <c r="Q86" s="5" t="inlineStr"/>
      <c r="R86" s="5" t="inlineStr">
        <is>
          <t>unknown</t>
        </is>
      </c>
      <c r="S86" s="5" t="inlineStr"/>
      <c r="T86" s="5" t="inlineStr">
        <is>
          <t>GSJ 200k Seamless Pg14-3_soss_Pg2</t>
        </is>
      </c>
      <c r="U86" s="5" t="inlineStr"/>
      <c r="V86" s="10" t="inlineStr">
        <is>
          <t>Pg14-3_soss_Pg2</t>
        </is>
      </c>
      <c r="W86" s="10" t="inlineStr">
        <is>
          <t>新生代 古第三紀 始新世 イプレシアン期〜漸新世 ルペリアン期</t>
        </is>
      </c>
      <c r="X86" s="10" t="inlineStr">
        <is>
          <t>Cenozoic Paleogene Eocene Ypresian - Oligocene Rupelian</t>
        </is>
      </c>
      <c r="Y86" s="10" t="inlineStr">
        <is>
          <t>海成層 砂岩 始新世-前期漸新世付加体</t>
        </is>
      </c>
      <c r="Z86" s="10" t="inlineStr">
        <is>
          <t>marine sandstone Eocene to early Oligocene accretionary complex</t>
        </is>
      </c>
      <c r="AA86" s="10" t="inlineStr">
        <is>
          <t>付加体</t>
        </is>
      </c>
      <c r="AB86" s="10" t="inlineStr">
        <is>
          <t>Accretionary complexes</t>
        </is>
      </c>
      <c r="AC86" s="10" t="inlineStr">
        <is>
          <t>Accretionary Complex</t>
        </is>
      </c>
    </row>
    <row r="87">
      <c r="A87" s="5" t="inlineStr">
        <is>
          <t>m200k_NI-54-31_u085</t>
        </is>
      </c>
      <c r="B87" s="6" t="inlineStr">
        <is>
          <t>col_6</t>
        </is>
      </c>
      <c r="C87" s="6" t="n">
        <v>31</v>
      </c>
      <c r="D87" s="7" t="inlineStr">
        <is>
          <t>Rupelian Conglomerate (Kofu Accretionary)</t>
        </is>
      </c>
      <c r="E87" s="5" t="inlineStr">
        <is>
          <t>Kofu Accretionary Complex</t>
        </is>
      </c>
      <c r="F87" s="6" t="inlineStr">
        <is>
          <t>Rupelian</t>
        </is>
      </c>
      <c r="G87" s="8" t="n">
        <v>27.3</v>
      </c>
      <c r="H87" s="9">
        <f>IF(OR($F87="",$G87=""),"",IFERROR((VLOOKUP($F87,intervals!$A:$C,2,FALSE)-$G87)/(VLOOKUP($F87,intervals!$A:$C,2,FALSE)-VLOOKUP($F87,intervals!$A:$C,3,FALSE)),""))</f>
        <v/>
      </c>
      <c r="I87" s="6" t="inlineStr">
        <is>
          <t>Ypresian</t>
        </is>
      </c>
      <c r="J87" s="8" t="n">
        <v>56</v>
      </c>
      <c r="K87" s="9">
        <f>IF(OR($I87="",$J87=""),"",IFERROR((VLOOKUP($I87,intervals!$A:$C,2,FALSE)-$J87)/(VLOOKUP($I87,intervals!$A:$C,2,FALSE)-VLOOKUP($I87,intervals!$A:$C,3,FALSE)),""))</f>
        <v/>
      </c>
      <c r="L87" s="7" t="inlineStr">
        <is>
          <t>conglomerate</t>
        </is>
      </c>
      <c r="M87" s="5" t="inlineStr"/>
      <c r="N87" s="5" t="inlineStr">
        <is>
          <t>marine</t>
        </is>
      </c>
      <c r="O87" s="5" t="inlineStr">
        <is>
          <t>Cenozoic Paleogene Eocene Ypresian - Oligocene Rupelian; marine conglomerate Eocene to early Oligocene accretionary complex [Accretionary Complex]</t>
        </is>
      </c>
      <c r="P87" s="5" t="inlineStr"/>
      <c r="Q87" s="5" t="inlineStr"/>
      <c r="R87" s="5" t="inlineStr">
        <is>
          <t>unknown</t>
        </is>
      </c>
      <c r="S87" s="5" t="inlineStr"/>
      <c r="T87" s="5" t="inlineStr">
        <is>
          <t>GSJ 200k Seamless Pg14-3_soc_Pg2</t>
        </is>
      </c>
      <c r="U87" s="5" t="inlineStr"/>
      <c r="V87" s="10" t="inlineStr">
        <is>
          <t>Pg14-3_soc_Pg2</t>
        </is>
      </c>
      <c r="W87" s="10" t="inlineStr">
        <is>
          <t>新生代 古第三紀 始新世 イプレシアン期〜漸新世 ルペリアン期</t>
        </is>
      </c>
      <c r="X87" s="10" t="inlineStr">
        <is>
          <t>Cenozoic Paleogene Eocene Ypresian - Oligocene Rupelian</t>
        </is>
      </c>
      <c r="Y87" s="10" t="inlineStr">
        <is>
          <t>海成層 礫岩 始新世-前期漸新世付加体</t>
        </is>
      </c>
      <c r="Z87" s="10" t="inlineStr">
        <is>
          <t>marine conglomerate Eocene to early Oligocene accretionary complex</t>
        </is>
      </c>
      <c r="AA87" s="10" t="inlineStr">
        <is>
          <t>付加体</t>
        </is>
      </c>
      <c r="AB87" s="10" t="inlineStr">
        <is>
          <t>Accretionary complexes</t>
        </is>
      </c>
      <c r="AC87" s="10" t="inlineStr">
        <is>
          <t>Accretionary Complex</t>
        </is>
      </c>
    </row>
    <row r="88">
      <c r="A88" s="5" t="inlineStr">
        <is>
          <t>m200k_NI-54-31_u087</t>
        </is>
      </c>
      <c r="B88" s="6" t="inlineStr">
        <is>
          <t>col_6</t>
        </is>
      </c>
      <c r="C88" s="6" t="n">
        <v>32</v>
      </c>
      <c r="D88" s="7" t="inlineStr">
        <is>
          <t>Chattian Basalt (Kofu Accretionary)</t>
        </is>
      </c>
      <c r="E88" s="5" t="inlineStr">
        <is>
          <t>Kofu Accretionary Complex</t>
        </is>
      </c>
      <c r="F88" s="6" t="inlineStr">
        <is>
          <t>Chattian</t>
        </is>
      </c>
      <c r="G88" s="8" t="n">
        <v>23.04</v>
      </c>
      <c r="H88" s="9">
        <f>IF(OR($F88="",$G88=""),"",IFERROR((VLOOKUP($F88,intervals!$A:$C,2,FALSE)-$G88)/(VLOOKUP($F88,intervals!$A:$C,2,FALSE)-VLOOKUP($F88,intervals!$A:$C,3,FALSE)),""))</f>
        <v/>
      </c>
      <c r="I88" s="6" t="inlineStr">
        <is>
          <t>Thanetian</t>
        </is>
      </c>
      <c r="J88" s="8" t="n">
        <v>59.24</v>
      </c>
      <c r="K88" s="9">
        <f>IF(OR($I88="",$J88=""),"",IFERROR((VLOOKUP($I88,intervals!$A:$C,2,FALSE)-$J88)/(VLOOKUP($I88,intervals!$A:$C,2,FALSE)-VLOOKUP($I88,intervals!$A:$C,3,FALSE)),""))</f>
        <v/>
      </c>
      <c r="L88" s="7" t="inlineStr">
        <is>
          <t>basalt</t>
        </is>
      </c>
      <c r="M88" s="5" t="inlineStr"/>
      <c r="N88" s="5" t="inlineStr">
        <is>
          <t>marine</t>
        </is>
      </c>
      <c r="O88" s="5" t="inlineStr">
        <is>
          <t>Cenozoic Paleogene Paleocene Thanetian - Oligocene Chattian; basalt oceanic late Oligocene to middle Miocene accretionary complex [Accretionary Complex]</t>
        </is>
      </c>
      <c r="P88" s="5" t="inlineStr"/>
      <c r="Q88" s="5" t="inlineStr"/>
      <c r="R88" s="5" t="inlineStr">
        <is>
          <t>unknown</t>
        </is>
      </c>
      <c r="S88" s="5" t="inlineStr"/>
      <c r="T88" s="5" t="inlineStr">
        <is>
          <t>GSJ 200k Seamless Pg13-41_vbs_o_Pg4</t>
        </is>
      </c>
      <c r="U88" s="5" t="inlineStr"/>
      <c r="V88" s="10" t="inlineStr">
        <is>
          <t>Pg13-41_vbs_o_Pg4</t>
        </is>
      </c>
      <c r="W88" s="10" t="inlineStr">
        <is>
          <t>新生代 古第三紀 暁新世 サネティアン期〜漸新世 チャッティアン期</t>
        </is>
      </c>
      <c r="X88" s="10" t="inlineStr">
        <is>
          <t>Cenozoic Paleogene Paleocene Thanetian - Oligocene Chattian</t>
        </is>
      </c>
      <c r="Y88" s="10" t="inlineStr">
        <is>
          <t>玄武岩 海洋 後期漸新世-中期中新世前期付加体</t>
        </is>
      </c>
      <c r="Z88" s="10" t="inlineStr">
        <is>
          <t>basalt oceanic late Oligocene to middle Miocene accretionary complex</t>
        </is>
      </c>
      <c r="AA88" s="10" t="inlineStr">
        <is>
          <t>付加体</t>
        </is>
      </c>
      <c r="AB88" s="10" t="inlineStr">
        <is>
          <t>Accretionary complexes</t>
        </is>
      </c>
      <c r="AC88" s="10" t="inlineStr">
        <is>
          <t>Accretionary Complex</t>
        </is>
      </c>
    </row>
    <row r="89">
      <c r="A89" s="5" t="inlineStr">
        <is>
          <t>m200k_NI-54-31_u082</t>
        </is>
      </c>
      <c r="B89" s="6" t="inlineStr">
        <is>
          <t>col_6</t>
        </is>
      </c>
      <c r="C89" s="6" t="n">
        <v>33</v>
      </c>
      <c r="D89" s="7" t="inlineStr">
        <is>
          <t>Langhian Sandstone (Kofu Accretionary)</t>
        </is>
      </c>
      <c r="E89" s="5" t="inlineStr">
        <is>
          <t>Kofu Accretionary Complex</t>
        </is>
      </c>
      <c r="F89" s="6" t="inlineStr">
        <is>
          <t>Langhian</t>
        </is>
      </c>
      <c r="G89" s="8" t="n">
        <v>13.82</v>
      </c>
      <c r="H89" s="9">
        <f>IF(OR($F89="",$G89=""),"",IFERROR((VLOOKUP($F89,intervals!$A:$C,2,FALSE)-$G89)/(VLOOKUP($F89,intervals!$A:$C,2,FALSE)-VLOOKUP($F89,intervals!$A:$C,3,FALSE)),""))</f>
        <v/>
      </c>
      <c r="I89" s="6" t="inlineStr">
        <is>
          <t>Chattian</t>
        </is>
      </c>
      <c r="J89" s="8" t="n">
        <v>27.3</v>
      </c>
      <c r="K89" s="9">
        <f>IF(OR($I89="",$J89=""),"",IFERROR((VLOOKUP($I89,intervals!$A:$C,2,FALSE)-$J89)/(VLOOKUP($I89,intervals!$A:$C,2,FALSE)-VLOOKUP($I89,intervals!$A:$C,3,FALSE)),""))</f>
        <v/>
      </c>
      <c r="L89" s="7" t="inlineStr">
        <is>
          <t>sandstone</t>
        </is>
      </c>
      <c r="M89" s="5" t="inlineStr"/>
      <c r="N89" s="5" t="inlineStr">
        <is>
          <t>marine</t>
        </is>
      </c>
      <c r="O89" s="5" t="inlineStr">
        <is>
          <t>Cenozoic Paleogene Oligocene Chattian - Neogene Miocene late Langhian; marine sandstone late Oligocene to middle Miocene accretionary complex [Accretionary Complex]</t>
        </is>
      </c>
      <c r="P89" s="5" t="inlineStr"/>
      <c r="Q89" s="5" t="inlineStr"/>
      <c r="R89" s="5" t="inlineStr">
        <is>
          <t>unknown</t>
        </is>
      </c>
      <c r="S89" s="5" t="inlineStr"/>
      <c r="T89" s="5" t="inlineStr">
        <is>
          <t>GSJ 200k Seamless Pg4-N211_soss_Pg4</t>
        </is>
      </c>
      <c r="U89" s="5" t="inlineStr"/>
      <c r="V89" s="10" t="inlineStr">
        <is>
          <t>Pg4-N211_soss_Pg4</t>
        </is>
      </c>
      <c r="W89" s="10" t="inlineStr">
        <is>
          <t>新生代 古第三紀 漸新世 チャッティアン期〜新第三紀 中新世 後期ランギアン期</t>
        </is>
      </c>
      <c r="X89" s="10" t="inlineStr">
        <is>
          <t>Cenozoic Paleogene Oligocene Chattian - Neogene Miocene late Langhian</t>
        </is>
      </c>
      <c r="Y89" s="10" t="inlineStr">
        <is>
          <t>海成層 砂岩 後期漸新世-中期中新世前期付加体</t>
        </is>
      </c>
      <c r="Z89" s="10" t="inlineStr">
        <is>
          <t>marine sandstone late Oligocene to middle Miocene accretionary complex</t>
        </is>
      </c>
      <c r="AA89" s="10" t="inlineStr">
        <is>
          <t>付加体</t>
        </is>
      </c>
      <c r="AB89" s="10" t="inlineStr">
        <is>
          <t>Accretionary complexes</t>
        </is>
      </c>
      <c r="AC89" s="10" t="inlineStr">
        <is>
          <t>Accretionary Complex</t>
        </is>
      </c>
    </row>
    <row r="90">
      <c r="A90" s="5" t="inlineStr">
        <is>
          <t>m200k_NI-54-31_u083</t>
        </is>
      </c>
      <c r="B90" s="6" t="inlineStr">
        <is>
          <t>col_6</t>
        </is>
      </c>
      <c r="C90" s="6" t="n">
        <v>34</v>
      </c>
      <c r="D90" s="7" t="inlineStr">
        <is>
          <t>Langhian Sandstone (Kofu Accretionary)</t>
        </is>
      </c>
      <c r="E90" s="5" t="inlineStr">
        <is>
          <t>Kofu Accretionary Complex</t>
        </is>
      </c>
      <c r="F90" s="6" t="inlineStr">
        <is>
          <t>Langhian</t>
        </is>
      </c>
      <c r="G90" s="8" t="n">
        <v>13.82</v>
      </c>
      <c r="H90" s="9">
        <f>IF(OR($F90="",$G90=""),"",IFERROR((VLOOKUP($F90,intervals!$A:$C,2,FALSE)-$G90)/(VLOOKUP($F90,intervals!$A:$C,2,FALSE)-VLOOKUP($F90,intervals!$A:$C,3,FALSE)),""))</f>
        <v/>
      </c>
      <c r="I90" s="6" t="inlineStr">
        <is>
          <t>Chattian</t>
        </is>
      </c>
      <c r="J90" s="8" t="n">
        <v>27.3</v>
      </c>
      <c r="K90" s="9">
        <f>IF(OR($I90="",$J90=""),"",IFERROR((VLOOKUP($I90,intervals!$A:$C,2,FALSE)-$J90)/(VLOOKUP($I90,intervals!$A:$C,2,FALSE)-VLOOKUP($I90,intervals!$A:$C,3,FALSE)),""))</f>
        <v/>
      </c>
      <c r="L90" s="7" t="inlineStr">
        <is>
          <t>sandstone</t>
        </is>
      </c>
      <c r="M90" s="5" t="inlineStr">
        <is>
          <t>mudstone</t>
        </is>
      </c>
      <c r="N90" s="5" t="inlineStr">
        <is>
          <t>marine</t>
        </is>
      </c>
      <c r="O90" s="5" t="inlineStr">
        <is>
          <t>Cenozoic Paleogene Oligocene Chattian - Neogene Miocene late Langhian; mandstone-predominant alternation of   sandstone &amp; mudstone late Oligocene to middle Miocene accretionary complex [Accretionary Complex]</t>
        </is>
      </c>
      <c r="P90" s="5" t="inlineStr"/>
      <c r="Q90" s="5" t="inlineStr"/>
      <c r="R90" s="5" t="inlineStr">
        <is>
          <t>unknown</t>
        </is>
      </c>
      <c r="S90" s="5" t="inlineStr"/>
      <c r="T90" s="5" t="inlineStr">
        <is>
          <t>GSJ 200k Seamless Pg4-N211_somam_Pg4</t>
        </is>
      </c>
      <c r="U90" s="5" t="inlineStr"/>
      <c r="V90" s="10" t="inlineStr">
        <is>
          <t>Pg4-N211_somam_Pg4</t>
        </is>
      </c>
      <c r="W90" s="10" t="inlineStr">
        <is>
          <t>新生代 古第三紀 漸新世 チャッティアン期〜新第三紀 中新世 後期ランギアン期</t>
        </is>
      </c>
      <c r="X90" s="10" t="inlineStr">
        <is>
          <t>Cenozoic Paleogene Oligocene Chattian - Neogene Miocene late Langhian</t>
        </is>
      </c>
      <c r="Y90" s="10" t="inlineStr">
        <is>
          <t>泥岩砂岩互層 後期漸新世-中期中新世前期付加体</t>
        </is>
      </c>
      <c r="Z90" s="10" t="inlineStr">
        <is>
          <t>mandstone-predominant alternation of   sandstone &amp; mudstone late Oligocene to middle Miocene accretionary complex</t>
        </is>
      </c>
      <c r="AA90" s="10" t="inlineStr">
        <is>
          <t>付加体</t>
        </is>
      </c>
      <c r="AB90" s="10" t="inlineStr">
        <is>
          <t>Accretionary complexes</t>
        </is>
      </c>
      <c r="AC90" s="10" t="inlineStr">
        <is>
          <t>Accretionary Complex</t>
        </is>
      </c>
    </row>
    <row r="91">
      <c r="A91" s="5" t="inlineStr">
        <is>
          <t>m200k_NI-54-31_u086</t>
        </is>
      </c>
      <c r="B91" s="6" t="inlineStr">
        <is>
          <t>col_6</t>
        </is>
      </c>
      <c r="C91" s="6" t="n">
        <v>35</v>
      </c>
      <c r="D91" s="7" t="inlineStr">
        <is>
          <t>Langhian Mudstone (Kofu Accretionary)</t>
        </is>
      </c>
      <c r="E91" s="5" t="inlineStr">
        <is>
          <t>Kofu Accretionary Complex</t>
        </is>
      </c>
      <c r="F91" s="6" t="inlineStr">
        <is>
          <t>Langhian</t>
        </is>
      </c>
      <c r="G91" s="8" t="n">
        <v>13.82</v>
      </c>
      <c r="H91" s="9">
        <f>IF(OR($F91="",$G91=""),"",IFERROR((VLOOKUP($F91,intervals!$A:$C,2,FALSE)-$G91)/(VLOOKUP($F91,intervals!$A:$C,2,FALSE)-VLOOKUP($F91,intervals!$A:$C,3,FALSE)),""))</f>
        <v/>
      </c>
      <c r="I91" s="6" t="inlineStr">
        <is>
          <t>Chattian</t>
        </is>
      </c>
      <c r="J91" s="8" t="n">
        <v>27.3</v>
      </c>
      <c r="K91" s="9">
        <f>IF(OR($I91="",$J91=""),"",IFERROR((VLOOKUP($I91,intervals!$A:$C,2,FALSE)-$J91)/(VLOOKUP($I91,intervals!$A:$C,2,FALSE)-VLOOKUP($I91,intervals!$A:$C,3,FALSE)),""))</f>
        <v/>
      </c>
      <c r="L91" s="7" t="inlineStr">
        <is>
          <t>mudstone</t>
        </is>
      </c>
      <c r="M91" s="5" t="inlineStr"/>
      <c r="N91" s="5" t="inlineStr">
        <is>
          <t>marine</t>
        </is>
      </c>
      <c r="O91" s="5" t="inlineStr">
        <is>
          <t>Cenozoic Paleogene Oligocene Chattian - Neogene Miocene late Langhian; marine mudstone late Oligocene to middle Miocene accretionary complex [Accretionary Complex]</t>
        </is>
      </c>
      <c r="P91" s="5" t="inlineStr"/>
      <c r="Q91" s="5" t="inlineStr"/>
      <c r="R91" s="5" t="inlineStr">
        <is>
          <t>unknown</t>
        </is>
      </c>
      <c r="S91" s="5" t="inlineStr"/>
      <c r="T91" s="5" t="inlineStr">
        <is>
          <t>GSJ 200k Seamless Pg4-N211_som_Pg4</t>
        </is>
      </c>
      <c r="U91" s="5" t="inlineStr"/>
      <c r="V91" s="10" t="inlineStr">
        <is>
          <t>Pg4-N211_som_Pg4</t>
        </is>
      </c>
      <c r="W91" s="10" t="inlineStr">
        <is>
          <t>新生代 古第三紀 漸新世 チャッティアン期〜新第三紀 中新世 後期ランギアン期</t>
        </is>
      </c>
      <c r="X91" s="10" t="inlineStr">
        <is>
          <t>Cenozoic Paleogene Oligocene Chattian - Neogene Miocene late Langhian</t>
        </is>
      </c>
      <c r="Y91" s="10" t="inlineStr">
        <is>
          <t>海成層 泥岩 後期漸新世-中期中新世前期付加体</t>
        </is>
      </c>
      <c r="Z91" s="10" t="inlineStr">
        <is>
          <t>marine mudstone late Oligocene to middle Miocene accretionary complex</t>
        </is>
      </c>
      <c r="AA91" s="10" t="inlineStr">
        <is>
          <t>付加体</t>
        </is>
      </c>
      <c r="AB91" s="10" t="inlineStr">
        <is>
          <t>Accretionary complexes</t>
        </is>
      </c>
      <c r="AC91" s="10" t="inlineStr">
        <is>
          <t>Accretionary Complex</t>
        </is>
      </c>
    </row>
    <row r="92">
      <c r="A92" s="5" t="inlineStr">
        <is>
          <t>m200k_NI-54-31_u097</t>
        </is>
      </c>
      <c r="B92" s="6" t="inlineStr">
        <is>
          <t>col_6</t>
        </is>
      </c>
      <c r="C92" s="6" t="n">
        <v>36</v>
      </c>
      <c r="D92" s="7" t="inlineStr">
        <is>
          <t>Langhian Gabbro (Kofu Accretionary)</t>
        </is>
      </c>
      <c r="E92" s="5" t="inlineStr">
        <is>
          <t>Kofu Accretionary Complex</t>
        </is>
      </c>
      <c r="F92" s="6" t="inlineStr">
        <is>
          <t>Langhian</t>
        </is>
      </c>
      <c r="G92" s="8" t="n">
        <v>13.82</v>
      </c>
      <c r="H92" s="9">
        <f>IF(OR($F92="",$G92=""),"",IFERROR((VLOOKUP($F92,intervals!$A:$C,2,FALSE)-$G92)/(VLOOKUP($F92,intervals!$A:$C,2,FALSE)-VLOOKUP($F92,intervals!$A:$C,3,FALSE)),""))</f>
        <v/>
      </c>
      <c r="I92" s="6" t="inlineStr">
        <is>
          <t>Burdigalian</t>
        </is>
      </c>
      <c r="J92" s="8" t="n">
        <v>20.45</v>
      </c>
      <c r="K92" s="9">
        <f>IF(OR($I92="",$J92=""),"",IFERROR((VLOOKUP($I92,intervals!$A:$C,2,FALSE)-$J92)/(VLOOKUP($I92,intervals!$A:$C,2,FALSE)-VLOOKUP($I92,intervals!$A:$C,3,FALSE)),""))</f>
        <v/>
      </c>
      <c r="L92" s="7" t="inlineStr">
        <is>
          <t>gabbro</t>
        </is>
      </c>
      <c r="M92" s="5" t="inlineStr">
        <is>
          <t>diorite</t>
        </is>
      </c>
      <c r="N92" s="5" t="inlineStr">
        <is>
          <t>marine</t>
        </is>
      </c>
      <c r="O92" s="5" t="inlineStr">
        <is>
          <t>Cenozoic Neogene Miocene late Burdigalian - late Langhian; Gabbro, diorite &amp; quartz diorite island arc &amp; continental late early to middle Miocene accretionary complex [Accretionary Complex]</t>
        </is>
      </c>
      <c r="P92" s="5" t="inlineStr"/>
      <c r="Q92" s="5" t="inlineStr"/>
      <c r="R92" s="5" t="inlineStr">
        <is>
          <t>unknown</t>
        </is>
      </c>
      <c r="S92" s="5" t="inlineStr"/>
      <c r="T92" s="5" t="inlineStr">
        <is>
          <t>GSJ 200k Seamless N12-211_pb_a_N2</t>
        </is>
      </c>
      <c r="U92" s="5" t="inlineStr"/>
      <c r="V92" s="10" t="inlineStr">
        <is>
          <t>N12-211_pb_a_N2</t>
        </is>
      </c>
      <c r="W92" s="10" t="inlineStr">
        <is>
          <t>新生代 新第三紀 中新世 後期バーディガリアン期〜後期ランギアン期</t>
        </is>
      </c>
      <c r="X92" s="10" t="inlineStr">
        <is>
          <t>Cenozoic Neogene Miocene late Burdigalian - late Langhian</t>
        </is>
      </c>
      <c r="Y92" s="10" t="inlineStr">
        <is>
          <t>斑れい岩・閃緑岩・石英閃緑岩 島弧・大陸 前期中新世後期-中期中新世付加体</t>
        </is>
      </c>
      <c r="Z92" s="10" t="inlineStr">
        <is>
          <t>Gabbro, diorite &amp; quartz diorite island arc &amp; continental late early to middle Miocene accretionary complex</t>
        </is>
      </c>
      <c r="AA92" s="10" t="inlineStr">
        <is>
          <t>付加体</t>
        </is>
      </c>
      <c r="AB92" s="10" t="inlineStr">
        <is>
          <t>Accretionary complexes</t>
        </is>
      </c>
      <c r="AC92" s="10" t="inlineStr">
        <is>
          <t>Accretionary Complex</t>
        </is>
      </c>
    </row>
    <row r="93">
      <c r="A93" s="5" t="inlineStr">
        <is>
          <t>m200k_NI-54-31_u076</t>
        </is>
      </c>
      <c r="B93" s="6" t="inlineStr">
        <is>
          <t>col_6</t>
        </is>
      </c>
      <c r="C93" s="6" t="n">
        <v>37</v>
      </c>
      <c r="D93" s="7" t="inlineStr">
        <is>
          <t>Serravallian Basalt (Kofu Accretionary)</t>
        </is>
      </c>
      <c r="E93" s="5" t="inlineStr">
        <is>
          <t>Kofu Accretionary Complex</t>
        </is>
      </c>
      <c r="F93" s="6" t="inlineStr">
        <is>
          <t>Serravallian</t>
        </is>
      </c>
      <c r="G93" s="8" t="n">
        <v>11.63</v>
      </c>
      <c r="H93" s="9">
        <f>IF(OR($F93="",$G93=""),"",IFERROR((VLOOKUP($F93,intervals!$A:$C,2,FALSE)-$G93)/(VLOOKUP($F93,intervals!$A:$C,2,FALSE)-VLOOKUP($F93,intervals!$A:$C,3,FALSE)),""))</f>
        <v/>
      </c>
      <c r="I93" s="6" t="inlineStr">
        <is>
          <t>Burdigalian</t>
        </is>
      </c>
      <c r="J93" s="8" t="n">
        <v>20.45</v>
      </c>
      <c r="K93" s="9">
        <f>IF(OR($I93="",$J93=""),"",IFERROR((VLOOKUP($I93,intervals!$A:$C,2,FALSE)-$J93)/(VLOOKUP($I93,intervals!$A:$C,2,FALSE)-VLOOKUP($I93,intervals!$A:$C,3,FALSE)),""))</f>
        <v/>
      </c>
      <c r="L93" s="7" t="inlineStr">
        <is>
          <t>basalt</t>
        </is>
      </c>
      <c r="M93" s="5" t="inlineStr"/>
      <c r="N93" s="5" t="inlineStr">
        <is>
          <t>marine</t>
        </is>
      </c>
      <c r="O93" s="5" t="inlineStr">
        <is>
          <t>Cenozoic Neogene Miocene late Burdigalian - late Serravallian; basalt oceanic late early to middle Miocene accretionary complex [Accretionary Complex]</t>
        </is>
      </c>
      <c r="P93" s="5" t="inlineStr"/>
      <c r="Q93" s="5" t="inlineStr"/>
      <c r="R93" s="5" t="inlineStr">
        <is>
          <t>unknown</t>
        </is>
      </c>
      <c r="S93" s="5" t="inlineStr"/>
      <c r="T93" s="5" t="inlineStr">
        <is>
          <t>GSJ 200k Seamless N12-221_vbs_o_N2</t>
        </is>
      </c>
      <c r="U93" s="5" t="inlineStr"/>
      <c r="V93" s="10" t="inlineStr">
        <is>
          <t>N12-221_vbs_o_N2</t>
        </is>
      </c>
      <c r="W93" s="10" t="inlineStr">
        <is>
          <t>新生代 新第三紀 中新世 後期バーディガリアン期〜後期サーラバリアン期</t>
        </is>
      </c>
      <c r="X93" s="10" t="inlineStr">
        <is>
          <t>Cenozoic Neogene Miocene late Burdigalian - late Serravallian</t>
        </is>
      </c>
      <c r="Y93" s="10" t="inlineStr">
        <is>
          <t>玄武岩 海洋 前期中新世後期-中期中新世付加体</t>
        </is>
      </c>
      <c r="Z93" s="10" t="inlineStr">
        <is>
          <t>basalt oceanic late early to middle Miocene accretionary complex</t>
        </is>
      </c>
      <c r="AA93" s="10" t="inlineStr">
        <is>
          <t>付加体</t>
        </is>
      </c>
      <c r="AB93" s="10" t="inlineStr">
        <is>
          <t>Accretionary complexes</t>
        </is>
      </c>
      <c r="AC93" s="10" t="inlineStr">
        <is>
          <t>Accretionary Complex</t>
        </is>
      </c>
    </row>
    <row r="94">
      <c r="A94" s="5" t="inlineStr">
        <is>
          <t>m200k_NI-54-31_u081</t>
        </is>
      </c>
      <c r="B94" s="6" t="inlineStr">
        <is>
          <t>col_6</t>
        </is>
      </c>
      <c r="C94" s="6" t="n">
        <v>38</v>
      </c>
      <c r="D94" s="7" t="inlineStr">
        <is>
          <t>Serravallian Mudstone (Kofu Accretionary)</t>
        </is>
      </c>
      <c r="E94" s="5" t="inlineStr">
        <is>
          <t>Kofu Accretionary Complex</t>
        </is>
      </c>
      <c r="F94" s="6" t="inlineStr">
        <is>
          <t>Serravallian</t>
        </is>
      </c>
      <c r="G94" s="8" t="n">
        <v>11.63</v>
      </c>
      <c r="H94" s="9">
        <f>IF(OR($F94="",$G94=""),"",IFERROR((VLOOKUP($F94,intervals!$A:$C,2,FALSE)-$G94)/(VLOOKUP($F94,intervals!$A:$C,2,FALSE)-VLOOKUP($F94,intervals!$A:$C,3,FALSE)),""))</f>
        <v/>
      </c>
      <c r="I94" s="6" t="inlineStr">
        <is>
          <t>Burdigalian</t>
        </is>
      </c>
      <c r="J94" s="8" t="n">
        <v>20.45</v>
      </c>
      <c r="K94" s="9">
        <f>IF(OR($I94="",$J94=""),"",IFERROR((VLOOKUP($I94,intervals!$A:$C,2,FALSE)-$J94)/(VLOOKUP($I94,intervals!$A:$C,2,FALSE)-VLOOKUP($I94,intervals!$A:$C,3,FALSE)),""))</f>
        <v/>
      </c>
      <c r="L94" s="7" t="inlineStr">
        <is>
          <t>mudstone</t>
        </is>
      </c>
      <c r="M94" s="5" t="inlineStr"/>
      <c r="N94" s="5" t="inlineStr">
        <is>
          <t>marine</t>
        </is>
      </c>
      <c r="O94" s="5" t="inlineStr">
        <is>
          <t>Cenozoic Neogene Miocene late Burdigalian - late Serravallian; marine mudstone late early to middle Miocene accretionary complex [Accretionary Complex]</t>
        </is>
      </c>
      <c r="P94" s="5" t="inlineStr"/>
      <c r="Q94" s="5" t="inlineStr"/>
      <c r="R94" s="5" t="inlineStr">
        <is>
          <t>unknown</t>
        </is>
      </c>
      <c r="S94" s="5" t="inlineStr"/>
      <c r="T94" s="5" t="inlineStr">
        <is>
          <t>GSJ 200k Seamless N12-221_som_N2</t>
        </is>
      </c>
      <c r="U94" s="5" t="inlineStr"/>
      <c r="V94" s="10" t="inlineStr">
        <is>
          <t>N12-221_som_N2</t>
        </is>
      </c>
      <c r="W94" s="10" t="inlineStr">
        <is>
          <t>新生代 新第三紀 中新世 後期バーディガリアン期〜後期サーラバリアン期</t>
        </is>
      </c>
      <c r="X94" s="10" t="inlineStr">
        <is>
          <t>Cenozoic Neogene Miocene late Burdigalian - late Serravallian</t>
        </is>
      </c>
      <c r="Y94" s="10" t="inlineStr">
        <is>
          <t>海成層 泥岩 前期中新世後期-中期中新世付加体</t>
        </is>
      </c>
      <c r="Z94" s="10" t="inlineStr">
        <is>
          <t>marine mudstone late early to middle Miocene accretionary complex</t>
        </is>
      </c>
      <c r="AA94" s="10" t="inlineStr">
        <is>
          <t>付加体</t>
        </is>
      </c>
      <c r="AB94" s="10" t="inlineStr">
        <is>
          <t>Accretionary complexes</t>
        </is>
      </c>
      <c r="AC94" s="10" t="inlineStr">
        <is>
          <t>Accretionary Complex</t>
        </is>
      </c>
    </row>
    <row r="95">
      <c r="A95" s="5" t="inlineStr">
        <is>
          <t>m200k_NI-54-31_u088</t>
        </is>
      </c>
      <c r="B95" s="6" t="inlineStr">
        <is>
          <t>col_6</t>
        </is>
      </c>
      <c r="C95" s="6" t="n">
        <v>39</v>
      </c>
      <c r="D95" s="7" t="inlineStr">
        <is>
          <t>Serravallian Dacite (Kofu Accretionary)</t>
        </is>
      </c>
      <c r="E95" s="5" t="inlineStr">
        <is>
          <t>Kofu Accretionary Complex</t>
        </is>
      </c>
      <c r="F95" s="6" t="inlineStr">
        <is>
          <t>Serravallian</t>
        </is>
      </c>
      <c r="G95" s="8" t="n">
        <v>11.63</v>
      </c>
      <c r="H95" s="9">
        <f>IF(OR($F95="",$G95=""),"",IFERROR((VLOOKUP($F95,intervals!$A:$C,2,FALSE)-$G95)/(VLOOKUP($F95,intervals!$A:$C,2,FALSE)-VLOOKUP($F95,intervals!$A:$C,3,FALSE)),""))</f>
        <v/>
      </c>
      <c r="I95" s="6" t="inlineStr">
        <is>
          <t>Burdigalian</t>
        </is>
      </c>
      <c r="J95" s="8" t="n">
        <v>20.45</v>
      </c>
      <c r="K95" s="9">
        <f>IF(OR($I95="",$J95=""),"",IFERROR((VLOOKUP($I95,intervals!$A:$C,2,FALSE)-$J95)/(VLOOKUP($I95,intervals!$A:$C,2,FALSE)-VLOOKUP($I95,intervals!$A:$C,3,FALSE)),""))</f>
        <v/>
      </c>
      <c r="L95" s="7" t="inlineStr">
        <is>
          <t>dacite</t>
        </is>
      </c>
      <c r="M95" s="5" t="inlineStr">
        <is>
          <t>rhyolite</t>
        </is>
      </c>
      <c r="N95" s="5" t="inlineStr">
        <is>
          <t>marine</t>
        </is>
      </c>
      <c r="O95" s="5" t="inlineStr">
        <is>
          <t>Cenozoic Neogene Miocene late Burdigalian - late Serravallian; dacite &amp; rhyolite oceanic late early to middle Miocene accretionary complex [Accretionary Complex]</t>
        </is>
      </c>
      <c r="P95" s="5" t="inlineStr"/>
      <c r="Q95" s="5" t="inlineStr"/>
      <c r="R95" s="5" t="inlineStr">
        <is>
          <t>unknown</t>
        </is>
      </c>
      <c r="S95" s="5" t="inlineStr"/>
      <c r="T95" s="5" t="inlineStr">
        <is>
          <t>GSJ 200k Seamless N12-221_vas_ol_N2</t>
        </is>
      </c>
      <c r="U95" s="5" t="inlineStr"/>
      <c r="V95" s="10" t="inlineStr">
        <is>
          <t>N12-221_vas_ol_N2</t>
        </is>
      </c>
      <c r="W95" s="10" t="inlineStr">
        <is>
          <t>新生代 新第三紀 中新世 後期バーディガリアン期〜後期サーラバリアン期</t>
        </is>
      </c>
      <c r="X95" s="10" t="inlineStr">
        <is>
          <t>Cenozoic Neogene Miocene late Burdigalian - late Serravallian</t>
        </is>
      </c>
      <c r="Y95" s="10" t="inlineStr">
        <is>
          <t>デイサイト・流紋岩 海洋 前期中新世後期-中期中新世付加体</t>
        </is>
      </c>
      <c r="Z95" s="10" t="inlineStr">
        <is>
          <t>dacite &amp; rhyolite oceanic late early to middle Miocene accretionary complex</t>
        </is>
      </c>
      <c r="AA95" s="10" t="inlineStr">
        <is>
          <t>付加体</t>
        </is>
      </c>
      <c r="AB95" s="10" t="inlineStr">
        <is>
          <t>Accretionary complexes</t>
        </is>
      </c>
      <c r="AC95" s="10" t="inlineStr">
        <is>
          <t>Accretionary Complex</t>
        </is>
      </c>
    </row>
    <row r="96">
      <c r="A96" s="5" t="inlineStr">
        <is>
          <t>m200k_NI-54-31_u091</t>
        </is>
      </c>
      <c r="B96" s="6" t="inlineStr">
        <is>
          <t>col_6</t>
        </is>
      </c>
      <c r="C96" s="6" t="n">
        <v>40</v>
      </c>
      <c r="D96" s="7" t="inlineStr">
        <is>
          <t>Serravallian Sandstone (Kofu Accretionary)</t>
        </is>
      </c>
      <c r="E96" s="5" t="inlineStr">
        <is>
          <t>Kofu Accretionary Complex</t>
        </is>
      </c>
      <c r="F96" s="6" t="inlineStr">
        <is>
          <t>Serravallian</t>
        </is>
      </c>
      <c r="G96" s="8" t="n">
        <v>11.63</v>
      </c>
      <c r="H96" s="9">
        <f>IF(OR($F96="",$G96=""),"",IFERROR((VLOOKUP($F96,intervals!$A:$C,2,FALSE)-$G96)/(VLOOKUP($F96,intervals!$A:$C,2,FALSE)-VLOOKUP($F96,intervals!$A:$C,3,FALSE)),""))</f>
        <v/>
      </c>
      <c r="I96" s="6" t="inlineStr">
        <is>
          <t>Burdigalian</t>
        </is>
      </c>
      <c r="J96" s="8" t="n">
        <v>20.45</v>
      </c>
      <c r="K96" s="9">
        <f>IF(OR($I96="",$J96=""),"",IFERROR((VLOOKUP($I96,intervals!$A:$C,2,FALSE)-$J96)/(VLOOKUP($I96,intervals!$A:$C,2,FALSE)-VLOOKUP($I96,intervals!$A:$C,3,FALSE)),""))</f>
        <v/>
      </c>
      <c r="L96" s="7" t="inlineStr">
        <is>
          <t>sandstone</t>
        </is>
      </c>
      <c r="M96" s="5" t="inlineStr">
        <is>
          <t>mudstone</t>
        </is>
      </c>
      <c r="N96" s="5" t="inlineStr">
        <is>
          <t>marine</t>
        </is>
      </c>
      <c r="O96" s="5" t="inlineStr">
        <is>
          <t>Cenozoic Neogene Miocene late Burdigalian - late Serravallian; sandstone, mudstone &amp; conglomerate late early to middle Miocene accretionary complex [Accretionary Complex]</t>
        </is>
      </c>
      <c r="P96" s="5" t="inlineStr"/>
      <c r="Q96" s="5" t="inlineStr"/>
      <c r="R96" s="5" t="inlineStr">
        <is>
          <t>unknown</t>
        </is>
      </c>
      <c r="S96" s="5" t="inlineStr"/>
      <c r="T96" s="5" t="inlineStr">
        <is>
          <t>GSJ 200k Seamless N12-221_sama_N2</t>
        </is>
      </c>
      <c r="U96" s="5" t="inlineStr"/>
      <c r="V96" s="10" t="inlineStr">
        <is>
          <t>N12-221_sama_N2</t>
        </is>
      </c>
      <c r="W96" s="10" t="inlineStr">
        <is>
          <t>新生代 新第三紀 中新世 後期バーディガリアン期〜後期サーラバリアン期</t>
        </is>
      </c>
      <c r="X96" s="10" t="inlineStr">
        <is>
          <t>Cenozoic Neogene Miocene late Burdigalian - late Serravallian</t>
        </is>
      </c>
      <c r="Y96" s="10" t="inlineStr">
        <is>
          <t>砂岩・泥岩・礫岩 前期中新世後期-中期中新世付加体</t>
        </is>
      </c>
      <c r="Z96" s="10" t="inlineStr">
        <is>
          <t>sandstone, mudstone &amp; conglomerate late early to middle Miocene accretionary complex</t>
        </is>
      </c>
      <c r="AA96" s="10" t="inlineStr">
        <is>
          <t>付加体</t>
        </is>
      </c>
      <c r="AB96" s="10" t="inlineStr">
        <is>
          <t>Accretionary complexes</t>
        </is>
      </c>
      <c r="AC96" s="10" t="inlineStr">
        <is>
          <t>Accretionary Complex</t>
        </is>
      </c>
    </row>
    <row r="97">
      <c r="A97" s="5" t="inlineStr">
        <is>
          <t>m200k_NI-54-31_u095</t>
        </is>
      </c>
      <c r="B97" s="6" t="inlineStr">
        <is>
          <t>col_6</t>
        </is>
      </c>
      <c r="C97" s="6" t="n">
        <v>41</v>
      </c>
      <c r="D97" s="7" t="inlineStr">
        <is>
          <t>Serravallian Sandstone (Kofu Accretionary)</t>
        </is>
      </c>
      <c r="E97" s="5" t="inlineStr">
        <is>
          <t>Kofu Accretionary Complex</t>
        </is>
      </c>
      <c r="F97" s="6" t="inlineStr">
        <is>
          <t>Serravallian</t>
        </is>
      </c>
      <c r="G97" s="8" t="n">
        <v>11.63</v>
      </c>
      <c r="H97" s="9">
        <f>IF(OR($F97="",$G97=""),"",IFERROR((VLOOKUP($F97,intervals!$A:$C,2,FALSE)-$G97)/(VLOOKUP($F97,intervals!$A:$C,2,FALSE)-VLOOKUP($F97,intervals!$A:$C,3,FALSE)),""))</f>
        <v/>
      </c>
      <c r="I97" s="6" t="inlineStr">
        <is>
          <t>Burdigalian</t>
        </is>
      </c>
      <c r="J97" s="8" t="n">
        <v>20.45</v>
      </c>
      <c r="K97" s="9">
        <f>IF(OR($I97="",$J97=""),"",IFERROR((VLOOKUP($I97,intervals!$A:$C,2,FALSE)-$J97)/(VLOOKUP($I97,intervals!$A:$C,2,FALSE)-VLOOKUP($I97,intervals!$A:$C,3,FALSE)),""))</f>
        <v/>
      </c>
      <c r="L97" s="7" t="inlineStr">
        <is>
          <t>sandstone</t>
        </is>
      </c>
      <c r="M97" s="5" t="inlineStr">
        <is>
          <t>mudstone</t>
        </is>
      </c>
      <c r="N97" s="5" t="inlineStr">
        <is>
          <t>marine</t>
        </is>
      </c>
      <c r="O97" s="5" t="inlineStr">
        <is>
          <t>Cenozoic Neogene Miocene late Burdigalian - late Serravallian; marine alternation of sandstone &amp; mudstone late early to middle Miocene accretionary complex [Accretionary Complex]</t>
        </is>
      </c>
      <c r="P97" s="5" t="inlineStr"/>
      <c r="Q97" s="5" t="inlineStr"/>
      <c r="R97" s="5" t="inlineStr">
        <is>
          <t>unknown</t>
        </is>
      </c>
      <c r="S97" s="5" t="inlineStr"/>
      <c r="T97" s="5" t="inlineStr">
        <is>
          <t>GSJ 200k Seamless N12-221_sosma_N2</t>
        </is>
      </c>
      <c r="U97" s="5" t="inlineStr"/>
      <c r="V97" s="10" t="inlineStr">
        <is>
          <t>N12-221_sosma_N2</t>
        </is>
      </c>
      <c r="W97" s="10" t="inlineStr">
        <is>
          <t>新生代 新第三紀 中新世 後期バーディガリアン期〜後期サーラバリアン期</t>
        </is>
      </c>
      <c r="X97" s="10" t="inlineStr">
        <is>
          <t>Cenozoic Neogene Miocene late Burdigalian - late Serravallian</t>
        </is>
      </c>
      <c r="Y97" s="10" t="inlineStr">
        <is>
          <t>海成層 砂岩泥岩互層 前期中新世後期-中期中新世付加体</t>
        </is>
      </c>
      <c r="Z97" s="10" t="inlineStr">
        <is>
          <t>marine alternation of sandstone &amp; mudstone late early to middle Miocene accretionary complex</t>
        </is>
      </c>
      <c r="AA97" s="10" t="inlineStr">
        <is>
          <t>付加体</t>
        </is>
      </c>
      <c r="AB97" s="10" t="inlineStr">
        <is>
          <t>Accretionary complexes</t>
        </is>
      </c>
      <c r="AC97" s="10" t="inlineStr">
        <is>
          <t>Accretionary Complex</t>
        </is>
      </c>
    </row>
    <row r="98">
      <c r="A98" s="5" t="inlineStr">
        <is>
          <t>m200k_NI-54-31_u090</t>
        </is>
      </c>
      <c r="B98" s="6" t="inlineStr">
        <is>
          <t>col_6</t>
        </is>
      </c>
      <c r="C98" s="6" t="n">
        <v>42</v>
      </c>
      <c r="D98" s="7" t="inlineStr">
        <is>
          <t>Serravallian Andesite (Kofu Accretionary)</t>
        </is>
      </c>
      <c r="E98" s="5" t="inlineStr">
        <is>
          <t>Kofu Accretionary Complex</t>
        </is>
      </c>
      <c r="F98" s="6" t="inlineStr">
        <is>
          <t>Serravallian</t>
        </is>
      </c>
      <c r="G98" s="8" t="n">
        <v>11.63</v>
      </c>
      <c r="H98" s="9">
        <f>IF(OR($F98="",$G98=""),"",IFERROR((VLOOKUP($F98,intervals!$A:$C,2,FALSE)-$G98)/(VLOOKUP($F98,intervals!$A:$C,2,FALSE)-VLOOKUP($F98,intervals!$A:$C,3,FALSE)),""))</f>
        <v/>
      </c>
      <c r="I98" s="6" t="inlineStr">
        <is>
          <t>Langhian</t>
        </is>
      </c>
      <c r="J98" s="8" t="n">
        <v>15.98</v>
      </c>
      <c r="K98" s="9">
        <f>IF(OR($I98="",$J98=""),"",IFERROR((VLOOKUP($I98,intervals!$A:$C,2,FALSE)-$J98)/(VLOOKUP($I98,intervals!$A:$C,2,FALSE)-VLOOKUP($I98,intervals!$A:$C,3,FALSE)),""))</f>
        <v/>
      </c>
      <c r="L98" s="7" t="inlineStr">
        <is>
          <t>andesite</t>
        </is>
      </c>
      <c r="M98" s="5" t="inlineStr">
        <is>
          <t>trachyandesite</t>
        </is>
      </c>
      <c r="N98" s="5" t="inlineStr">
        <is>
          <t>marine</t>
        </is>
      </c>
      <c r="O98" s="5" t="inlineStr">
        <is>
          <t>Cenozoic Neogene Miocene early Langhian - late Serravallian; andesite,  basaltic andesite &amp; trachyandesite lava &amp; pyroclastic rocks late early to middle Miocene accretionary complex [Accretionary Complex]</t>
        </is>
      </c>
      <c r="P98" s="5" t="inlineStr"/>
      <c r="Q98" s="5" t="inlineStr"/>
      <c r="R98" s="5" t="inlineStr">
        <is>
          <t>unknown</t>
        </is>
      </c>
      <c r="S98" s="5" t="inlineStr"/>
      <c r="T98" s="5" t="inlineStr">
        <is>
          <t>GSJ 200k Seamless N122-221_vi_al_N2</t>
        </is>
      </c>
      <c r="U98" s="5" t="inlineStr"/>
      <c r="V98" s="10" t="inlineStr">
        <is>
          <t>N122-221_vi_al_N2</t>
        </is>
      </c>
      <c r="W98" s="10" t="inlineStr">
        <is>
          <t>新生代 新第三紀 中新世 前期ランギアン期〜後期サーラバリアン期</t>
        </is>
      </c>
      <c r="X98" s="10" t="inlineStr">
        <is>
          <t>Cenozoic Neogene Miocene early Langhian - late Serravallian</t>
        </is>
      </c>
      <c r="Y98" s="10" t="inlineStr">
        <is>
          <t>安山岩・玄武岩質安山岩・粗面安山岩 溶岩・火砕岩 前期中新世後期-中期中新世付加体</t>
        </is>
      </c>
      <c r="Z98" s="10" t="inlineStr">
        <is>
          <t>andesite,  basaltic andesite &amp; trachyandesite lava &amp; pyroclastic rocks late early to middle Miocene accretionary complex</t>
        </is>
      </c>
      <c r="AA98" s="10" t="inlineStr">
        <is>
          <t>付加体</t>
        </is>
      </c>
      <c r="AB98" s="10" t="inlineStr">
        <is>
          <t>Accretionary complexes</t>
        </is>
      </c>
      <c r="AC98" s="10" t="inlineStr">
        <is>
          <t>Accretionary Complex</t>
        </is>
      </c>
    </row>
    <row r="99">
      <c r="A99" s="5" t="inlineStr">
        <is>
          <t>m200k_NI-54-31_u098</t>
        </is>
      </c>
      <c r="B99" s="6" t="inlineStr">
        <is>
          <t>col_7</t>
        </is>
      </c>
      <c r="C99" s="6" t="n">
        <v>1</v>
      </c>
      <c r="D99" s="7" t="inlineStr">
        <is>
          <t>Barremian Conglomerate (Kofu Mesozoic)</t>
        </is>
      </c>
      <c r="E99" s="5" t="inlineStr">
        <is>
          <t>Kofu Mesozoic Sedimentary Basin</t>
        </is>
      </c>
      <c r="F99" s="6" t="inlineStr">
        <is>
          <t>Barremian</t>
        </is>
      </c>
      <c r="G99" s="8" t="n">
        <v>121.4</v>
      </c>
      <c r="H99" s="9">
        <f>IF(OR($F99="",$G99=""),"",IFERROR((VLOOKUP($F99,intervals!$A:$C,2,FALSE)-$G99)/(VLOOKUP($F99,intervals!$A:$C,2,FALSE)-VLOOKUP($F99,intervals!$A:$C,3,FALSE)),""))</f>
        <v/>
      </c>
      <c r="I99" s="6" t="inlineStr">
        <is>
          <t>Berriasian</t>
        </is>
      </c>
      <c r="J99" s="8" t="n">
        <v>143.1</v>
      </c>
      <c r="K99" s="9">
        <f>IF(OR($I99="",$J99=""),"",IFERROR((VLOOKUP($I99,intervals!$A:$C,2,FALSE)-$J99)/(VLOOKUP($I99,intervals!$A:$C,2,FALSE)-VLOOKUP($I99,intervals!$A:$C,3,FALSE)),""))</f>
        <v/>
      </c>
      <c r="L99" s="7" t="inlineStr">
        <is>
          <t>conglomerate</t>
        </is>
      </c>
      <c r="M99" s="5" t="inlineStr"/>
      <c r="N99" s="5" t="inlineStr">
        <is>
          <t>marine</t>
        </is>
      </c>
      <c r="O99" s="5" t="inlineStr">
        <is>
          <t>Mesozoic Early Cretaceous Berriasian - Barremian; brackish, or marine &amp; non-marine  mixture conglomerate [Mesozoic Sedimentary Basin]</t>
        </is>
      </c>
      <c r="P99" s="5" t="inlineStr"/>
      <c r="Q99" s="5" t="inlineStr"/>
      <c r="R99" s="5" t="inlineStr">
        <is>
          <t>unknown</t>
        </is>
      </c>
      <c r="S99" s="5" t="inlineStr"/>
      <c r="T99" s="5" t="inlineStr">
        <is>
          <t>GSJ 200k Seamless K11_sbc</t>
        </is>
      </c>
      <c r="U99" s="5" t="inlineStr"/>
      <c r="V99" s="10" t="inlineStr">
        <is>
          <t>K11_sbc</t>
        </is>
      </c>
      <c r="W99" s="10" t="inlineStr">
        <is>
          <t>中生代 前期白亜紀 ベリアシアン期〜バレミアン期</t>
        </is>
      </c>
      <c r="X99" s="10" t="inlineStr">
        <is>
          <t>Mesozoic Early Cretaceous Berriasian - Barremian</t>
        </is>
      </c>
      <c r="Y99" s="10" t="inlineStr">
        <is>
          <t>汽水成層ないし海成・非海成混合層 礫岩</t>
        </is>
      </c>
      <c r="Z99" s="10" t="inlineStr">
        <is>
          <t>brackish, or marine &amp; non-marine  mixture conglomerate</t>
        </is>
      </c>
      <c r="AA99" s="10" t="inlineStr">
        <is>
          <t>堆積岩</t>
        </is>
      </c>
      <c r="AB99" s="10" t="inlineStr">
        <is>
          <t>Sedimentary rocks</t>
        </is>
      </c>
      <c r="AC99" s="10" t="inlineStr">
        <is>
          <t>Mesozoic Sedimentary Basin</t>
        </is>
      </c>
    </row>
    <row r="100">
      <c r="A100" s="5" t="inlineStr">
        <is>
          <t>m200k_NI-54-31_u101</t>
        </is>
      </c>
      <c r="B100" s="6" t="inlineStr">
        <is>
          <t>col_7</t>
        </is>
      </c>
      <c r="C100" s="6" t="n">
        <v>2</v>
      </c>
      <c r="D100" s="7" t="inlineStr">
        <is>
          <t>Barremian Sandstone (Kofu Mesozoic)</t>
        </is>
      </c>
      <c r="E100" s="5" t="inlineStr">
        <is>
          <t>Kofu Mesozoic Sedimentary Basin</t>
        </is>
      </c>
      <c r="F100" s="6" t="inlineStr">
        <is>
          <t>Barremian</t>
        </is>
      </c>
      <c r="G100" s="8" t="n">
        <v>121.4</v>
      </c>
      <c r="H100" s="9">
        <f>IF(OR($F100="",$G100=""),"",IFERROR((VLOOKUP($F100,intervals!$A:$C,2,FALSE)-$G100)/(VLOOKUP($F100,intervals!$A:$C,2,FALSE)-VLOOKUP($F100,intervals!$A:$C,3,FALSE)),""))</f>
        <v/>
      </c>
      <c r="I100" s="6" t="inlineStr">
        <is>
          <t>Berriasian</t>
        </is>
      </c>
      <c r="J100" s="8" t="n">
        <v>143.1</v>
      </c>
      <c r="K100" s="9">
        <f>IF(OR($I100="",$J100=""),"",IFERROR((VLOOKUP($I100,intervals!$A:$C,2,FALSE)-$J100)/(VLOOKUP($I100,intervals!$A:$C,2,FALSE)-VLOOKUP($I100,intervals!$A:$C,3,FALSE)),""))</f>
        <v/>
      </c>
      <c r="L100" s="7" t="inlineStr">
        <is>
          <t>sandstone</t>
        </is>
      </c>
      <c r="M100" s="5" t="inlineStr">
        <is>
          <t>mudstone</t>
        </is>
      </c>
      <c r="N100" s="5" t="inlineStr">
        <is>
          <t>marine</t>
        </is>
      </c>
      <c r="O100" s="5" t="inlineStr">
        <is>
          <t>Mesozoic Early Cretaceous Berriasian - Barremian; marine alternation of sandstone &amp; mudstone [Mesozoic Sedimentary Basin]</t>
        </is>
      </c>
      <c r="P100" s="5" t="inlineStr"/>
      <c r="Q100" s="5" t="inlineStr"/>
      <c r="R100" s="5" t="inlineStr">
        <is>
          <t>unknown</t>
        </is>
      </c>
      <c r="S100" s="5" t="inlineStr"/>
      <c r="T100" s="5" t="inlineStr">
        <is>
          <t>GSJ 200k Seamless K11_sosma</t>
        </is>
      </c>
      <c r="U100" s="5" t="inlineStr"/>
      <c r="V100" s="10" t="inlineStr">
        <is>
          <t>K11_sosma</t>
        </is>
      </c>
      <c r="W100" s="10" t="inlineStr">
        <is>
          <t>中生代 前期白亜紀 ベリアシアン期〜バレミアン期</t>
        </is>
      </c>
      <c r="X100" s="10" t="inlineStr">
        <is>
          <t>Mesozoic Early Cretaceous Berriasian - Barremian</t>
        </is>
      </c>
      <c r="Y100" s="10" t="inlineStr">
        <is>
          <t>海成層 砂岩泥岩互層</t>
        </is>
      </c>
      <c r="Z100" s="10" t="inlineStr">
        <is>
          <t>marine alternation of sandstone &amp; mudstone</t>
        </is>
      </c>
      <c r="AA100" s="10" t="inlineStr">
        <is>
          <t>堆積岩</t>
        </is>
      </c>
      <c r="AB100" s="10" t="inlineStr">
        <is>
          <t>Sedimentary rocks</t>
        </is>
      </c>
      <c r="AC100" s="10" t="inlineStr">
        <is>
          <t>Mesozoic Sedimentary Basin</t>
        </is>
      </c>
    </row>
    <row r="101">
      <c r="A101" s="5" t="inlineStr">
        <is>
          <t>m200k_NI-54-31_u099</t>
        </is>
      </c>
      <c r="B101" s="6" t="inlineStr">
        <is>
          <t>col_7</t>
        </is>
      </c>
      <c r="C101" s="6" t="n">
        <v>3</v>
      </c>
      <c r="D101" s="7" t="inlineStr">
        <is>
          <t>Albian Sandstone (Kofu Mesozoic)</t>
        </is>
      </c>
      <c r="E101" s="5" t="inlineStr">
        <is>
          <t>Kofu Mesozoic Sedimentary Basin</t>
        </is>
      </c>
      <c r="F101" s="6" t="inlineStr">
        <is>
          <t>Albian</t>
        </is>
      </c>
      <c r="G101" s="8" t="n">
        <v>100.5</v>
      </c>
      <c r="H101" s="9">
        <f>IF(OR($F101="",$G101=""),"",IFERROR((VLOOKUP($F101,intervals!$A:$C,2,FALSE)-$G101)/(VLOOKUP($F101,intervals!$A:$C,2,FALSE)-VLOOKUP($F101,intervals!$A:$C,3,FALSE)),""))</f>
        <v/>
      </c>
      <c r="I101" s="6" t="inlineStr">
        <is>
          <t>Aptian</t>
        </is>
      </c>
      <c r="J101" s="8" t="n">
        <v>121.4</v>
      </c>
      <c r="K101" s="9">
        <f>IF(OR($I101="",$J101=""),"",IFERROR((VLOOKUP($I101,intervals!$A:$C,2,FALSE)-$J101)/(VLOOKUP($I101,intervals!$A:$C,2,FALSE)-VLOOKUP($I101,intervals!$A:$C,3,FALSE)),""))</f>
        <v/>
      </c>
      <c r="L101" s="7" t="inlineStr">
        <is>
          <t>sandstone</t>
        </is>
      </c>
      <c r="M101" s="5" t="inlineStr">
        <is>
          <t>mudstone</t>
        </is>
      </c>
      <c r="N101" s="5" t="inlineStr">
        <is>
          <t>marine</t>
        </is>
      </c>
      <c r="O101" s="5" t="inlineStr">
        <is>
          <t>Mesozoic Early Cretaceous Aptian - Albian; marine alternation of sandstone &amp; mudstone [Mesozoic Sedimentary Basin]</t>
        </is>
      </c>
      <c r="P101" s="5" t="inlineStr"/>
      <c r="Q101" s="5" t="inlineStr"/>
      <c r="R101" s="5" t="inlineStr">
        <is>
          <t>unknown</t>
        </is>
      </c>
      <c r="S101" s="5" t="inlineStr"/>
      <c r="T101" s="5" t="inlineStr">
        <is>
          <t>GSJ 200k Seamless K12_sosma</t>
        </is>
      </c>
      <c r="U101" s="5" t="inlineStr"/>
      <c r="V101" s="10" t="inlineStr">
        <is>
          <t>K12_sosma</t>
        </is>
      </c>
      <c r="W101" s="10" t="inlineStr">
        <is>
          <t>中生代 前期白亜紀 アプチアン期〜アルビアン期</t>
        </is>
      </c>
      <c r="X101" s="10" t="inlineStr">
        <is>
          <t>Mesozoic Early Cretaceous Aptian - Albian</t>
        </is>
      </c>
      <c r="Y101" s="10" t="inlineStr">
        <is>
          <t>海成層 砂岩泥岩互層</t>
        </is>
      </c>
      <c r="Z101" s="10" t="inlineStr">
        <is>
          <t>marine alternation of sandstone &amp; mudstone</t>
        </is>
      </c>
      <c r="AA101" s="10" t="inlineStr">
        <is>
          <t>堆積岩</t>
        </is>
      </c>
      <c r="AB101" s="10" t="inlineStr">
        <is>
          <t>Sedimentary rocks</t>
        </is>
      </c>
      <c r="AC101" s="10" t="inlineStr">
        <is>
          <t>Mesozoic Sedimentary Basin</t>
        </is>
      </c>
    </row>
    <row r="102">
      <c r="A102" s="5" t="inlineStr">
        <is>
          <t>m200k_NI-54-31_u100</t>
        </is>
      </c>
      <c r="B102" s="6" t="inlineStr">
        <is>
          <t>col_7</t>
        </is>
      </c>
      <c r="C102" s="6" t="n">
        <v>4</v>
      </c>
      <c r="D102" s="7" t="inlineStr">
        <is>
          <t>Albian Conglomerate (Kofu Mesozoic)</t>
        </is>
      </c>
      <c r="E102" s="5" t="inlineStr">
        <is>
          <t>Kofu Mesozoic Sedimentary Basin</t>
        </is>
      </c>
      <c r="F102" s="6" t="inlineStr">
        <is>
          <t>Albian</t>
        </is>
      </c>
      <c r="G102" s="8" t="n">
        <v>100.5</v>
      </c>
      <c r="H102" s="9">
        <f>IF(OR($F102="",$G102=""),"",IFERROR((VLOOKUP($F102,intervals!$A:$C,2,FALSE)-$G102)/(VLOOKUP($F102,intervals!$A:$C,2,FALSE)-VLOOKUP($F102,intervals!$A:$C,3,FALSE)),""))</f>
        <v/>
      </c>
      <c r="I102" s="6" t="inlineStr">
        <is>
          <t>Aptian</t>
        </is>
      </c>
      <c r="J102" s="8" t="n">
        <v>121.4</v>
      </c>
      <c r="K102" s="9">
        <f>IF(OR($I102="",$J102=""),"",IFERROR((VLOOKUP($I102,intervals!$A:$C,2,FALSE)-$J102)/(VLOOKUP($I102,intervals!$A:$C,2,FALSE)-VLOOKUP($I102,intervals!$A:$C,3,FALSE)),""))</f>
        <v/>
      </c>
      <c r="L102" s="7" t="inlineStr">
        <is>
          <t>conglomerate</t>
        </is>
      </c>
      <c r="M102" s="5" t="inlineStr"/>
      <c r="N102" s="5" t="inlineStr">
        <is>
          <t>marine</t>
        </is>
      </c>
      <c r="O102" s="5" t="inlineStr">
        <is>
          <t>Mesozoic Early Cretaceous Aptian - Albian; marine conglomerate [Mesozoic Sedimentary Basin]</t>
        </is>
      </c>
      <c r="P102" s="5" t="inlineStr"/>
      <c r="Q102" s="5" t="inlineStr"/>
      <c r="R102" s="5" t="inlineStr">
        <is>
          <t>unknown</t>
        </is>
      </c>
      <c r="S102" s="5" t="inlineStr"/>
      <c r="T102" s="5" t="inlineStr">
        <is>
          <t>GSJ 200k Seamless K12_soc</t>
        </is>
      </c>
      <c r="U102" s="5" t="inlineStr"/>
      <c r="V102" s="10" t="inlineStr">
        <is>
          <t>K12_soc</t>
        </is>
      </c>
      <c r="W102" s="10" t="inlineStr">
        <is>
          <t>中生代 前期白亜紀 アプチアン期〜アルビアン期</t>
        </is>
      </c>
      <c r="X102" s="10" t="inlineStr">
        <is>
          <t>Mesozoic Early Cretaceous Aptian - Albian</t>
        </is>
      </c>
      <c r="Y102" s="10" t="inlineStr">
        <is>
          <t>海成層 礫岩</t>
        </is>
      </c>
      <c r="Z102" s="10" t="inlineStr">
        <is>
          <t>marine conglomerate</t>
        </is>
      </c>
      <c r="AA102" s="10" t="inlineStr">
        <is>
          <t>堆積岩</t>
        </is>
      </c>
      <c r="AB102" s="10" t="inlineStr">
        <is>
          <t>Sedimentary rocks</t>
        </is>
      </c>
      <c r="AC102" s="10" t="inlineStr">
        <is>
          <t>Mesozoic Sedimentary Basin</t>
        </is>
      </c>
    </row>
    <row r="103">
      <c r="A103" s="5" t="inlineStr">
        <is>
          <t>m200k_NI-54-31_u102</t>
        </is>
      </c>
      <c r="B103" s="6" t="inlineStr">
        <is>
          <t>col_7</t>
        </is>
      </c>
      <c r="C103" s="6" t="n">
        <v>5</v>
      </c>
      <c r="D103" s="7" t="inlineStr">
        <is>
          <t>Maastrichtian Tonalite (Kofu Mesozoic)</t>
        </is>
      </c>
      <c r="E103" s="5" t="inlineStr">
        <is>
          <t>Kofu Mesozoic Sedimentary Basin</t>
        </is>
      </c>
      <c r="F103" s="6" t="inlineStr">
        <is>
          <t>Maastrichtian</t>
        </is>
      </c>
      <c r="G103" s="8" t="n">
        <v>66</v>
      </c>
      <c r="H103" s="9">
        <f>IF(OR($F103="",$G103=""),"",IFERROR((VLOOKUP($F103,intervals!$A:$C,2,FALSE)-$G103)/(VLOOKUP($F103,intervals!$A:$C,2,FALSE)-VLOOKUP($F103,intervals!$A:$C,3,FALSE)),""))</f>
        <v/>
      </c>
      <c r="I103" s="6" t="inlineStr">
        <is>
          <t>Campanian</t>
        </is>
      </c>
      <c r="J103" s="8" t="n">
        <v>83.59999999999999</v>
      </c>
      <c r="K103" s="9">
        <f>IF(OR($I103="",$J103=""),"",IFERROR((VLOOKUP($I103,intervals!$A:$C,2,FALSE)-$J103)/(VLOOKUP($I103,intervals!$A:$C,2,FALSE)-VLOOKUP($I103,intervals!$A:$C,3,FALSE)),""))</f>
        <v/>
      </c>
      <c r="L103" s="7" t="inlineStr">
        <is>
          <t>tonalite</t>
        </is>
      </c>
      <c r="M103" s="5" t="inlineStr"/>
      <c r="N103" s="5" t="inlineStr">
        <is>
          <t>unknown</t>
        </is>
      </c>
      <c r="O103" s="5" t="inlineStr">
        <is>
          <t>Mesozoic Late Cretaceous Campanian - Maastrichtian; mssive granodiolite &amp; tonalite island arc &amp; continental [Mesozoic Sedimentary Basin]</t>
        </is>
      </c>
      <c r="P103" s="5" t="inlineStr"/>
      <c r="Q103" s="5" t="inlineStr"/>
      <c r="R103" s="5" t="inlineStr">
        <is>
          <t>unknown</t>
        </is>
      </c>
      <c r="S103" s="5" t="inlineStr"/>
      <c r="T103" s="5" t="inlineStr">
        <is>
          <t>GSJ 200k Seamless K22_pim_a</t>
        </is>
      </c>
      <c r="U103" s="5" t="inlineStr"/>
      <c r="V103" s="10" t="inlineStr">
        <is>
          <t>K22_pim_a</t>
        </is>
      </c>
      <c r="W103" s="10" t="inlineStr">
        <is>
          <t>中生代 後期白亜紀 カンパニアン期〜マーストリヒチアン期</t>
        </is>
      </c>
      <c r="X103" s="10" t="inlineStr">
        <is>
          <t>Mesozoic Late Cretaceous Campanian - Maastrichtian</t>
        </is>
      </c>
      <c r="Y103" s="10" t="inlineStr">
        <is>
          <t>花崗閃緑岩・トーナル岩 塊状 島弧・大陸</t>
        </is>
      </c>
      <c r="Z103" s="10" t="inlineStr">
        <is>
          <t>mssive granodiolite &amp; tonalite island arc &amp; continental</t>
        </is>
      </c>
      <c r="AA103" s="10" t="inlineStr">
        <is>
          <t>火成岩</t>
        </is>
      </c>
      <c r="AB103" s="10" t="inlineStr">
        <is>
          <t>Igneous rocks</t>
        </is>
      </c>
      <c r="AC103" s="10" t="inlineStr">
        <is>
          <t>Mesozoic Sedimentary Basin</t>
        </is>
      </c>
    </row>
    <row r="104">
      <c r="A104" s="5" t="inlineStr">
        <is>
          <t>m200k_NI-54-31_u109</t>
        </is>
      </c>
      <c r="B104" s="6" t="inlineStr">
        <is>
          <t>col_8</t>
        </is>
      </c>
      <c r="C104" s="6" t="n">
        <v>1</v>
      </c>
      <c r="D104" s="7" t="inlineStr">
        <is>
          <t>Jurassic Diorite (Kofu Plutonic)</t>
        </is>
      </c>
      <c r="E104" s="5" t="inlineStr">
        <is>
          <t>Kofu Plutonic Complex</t>
        </is>
      </c>
      <c r="F104" s="6" t="inlineStr">
        <is>
          <t>Jurassic</t>
        </is>
      </c>
      <c r="G104" s="8" t="n">
        <v>143.1</v>
      </c>
      <c r="H104" s="9">
        <f>IF(OR($F104="",$G104=""),"",IFERROR((VLOOKUP($F104,intervals!$A:$C,2,FALSE)-$G104)/(VLOOKUP($F104,intervals!$A:$C,2,FALSE)-VLOOKUP($F104,intervals!$A:$C,3,FALSE)),""))</f>
        <v/>
      </c>
      <c r="I104" s="6" t="inlineStr">
        <is>
          <t>Jurassic</t>
        </is>
      </c>
      <c r="J104" s="8" t="n">
        <v>201.4</v>
      </c>
      <c r="K104" s="9">
        <f>IF(OR($I104="",$J104=""),"",IFERROR((VLOOKUP($I104,intervals!$A:$C,2,FALSE)-$J104)/(VLOOKUP($I104,intervals!$A:$C,2,FALSE)-VLOOKUP($I104,intervals!$A:$C,3,FALSE)),""))</f>
        <v/>
      </c>
      <c r="L104" s="7" t="inlineStr">
        <is>
          <t>diorite</t>
        </is>
      </c>
      <c r="M104" s="5" t="inlineStr"/>
      <c r="N104" s="5" t="inlineStr">
        <is>
          <t>plutonic</t>
        </is>
      </c>
      <c r="O104" s="5" t="inlineStr">
        <is>
          <t>Mesozoic Jurassic Early - Middle; diorite &amp; quartz diorite island arc &amp; continental [Plutonic Complex]</t>
        </is>
      </c>
      <c r="P104" s="5" t="inlineStr"/>
      <c r="Q104" s="5" t="inlineStr"/>
      <c r="R104" s="5" t="inlineStr">
        <is>
          <t>intrusive</t>
        </is>
      </c>
      <c r="S104" s="5" t="inlineStr"/>
      <c r="T104" s="5" t="inlineStr">
        <is>
          <t>GSJ 200k Seamless J1-2_pbd_a</t>
        </is>
      </c>
      <c r="U104" s="5" t="inlineStr"/>
      <c r="V104" s="10" t="inlineStr">
        <is>
          <t>J1-2_pbd_a</t>
        </is>
      </c>
      <c r="W104" s="10" t="inlineStr">
        <is>
          <t>中生代 前期ジュラ紀〜中期ジュラ紀</t>
        </is>
      </c>
      <c r="X104" s="10" t="inlineStr">
        <is>
          <t>Mesozoic Jurassic Early - Middle</t>
        </is>
      </c>
      <c r="Y104" s="10" t="inlineStr">
        <is>
          <t>閃緑岩・石英閃緑岩 島弧・大陸</t>
        </is>
      </c>
      <c r="Z104" s="10" t="inlineStr">
        <is>
          <t>diorite &amp; quartz diorite island arc &amp; continental</t>
        </is>
      </c>
      <c r="AA104" s="10" t="inlineStr">
        <is>
          <t>火成岩</t>
        </is>
      </c>
      <c r="AB104" s="10" t="inlineStr">
        <is>
          <t>Igneous rocks</t>
        </is>
      </c>
      <c r="AC104" s="10" t="inlineStr">
        <is>
          <t>Plutonic Complex</t>
        </is>
      </c>
    </row>
    <row r="105">
      <c r="A105" s="5" t="inlineStr">
        <is>
          <t>m200k_NI-54-31_u113</t>
        </is>
      </c>
      <c r="B105" s="6" t="inlineStr">
        <is>
          <t>col_8</t>
        </is>
      </c>
      <c r="C105" s="6" t="n">
        <v>2</v>
      </c>
      <c r="D105" s="7" t="inlineStr">
        <is>
          <t>Jurassic Gabbro (Kofu Plutonic)</t>
        </is>
      </c>
      <c r="E105" s="5" t="inlineStr">
        <is>
          <t>Kofu Plutonic Complex</t>
        </is>
      </c>
      <c r="F105" s="6" t="inlineStr">
        <is>
          <t>Jurassic</t>
        </is>
      </c>
      <c r="G105" s="8" t="n">
        <v>143.1</v>
      </c>
      <c r="H105" s="9">
        <f>IF(OR($F105="",$G105=""),"",IFERROR((VLOOKUP($F105,intervals!$A:$C,2,FALSE)-$G105)/(VLOOKUP($F105,intervals!$A:$C,2,FALSE)-VLOOKUP($F105,intervals!$A:$C,3,FALSE)),""))</f>
        <v/>
      </c>
      <c r="I105" s="6" t="inlineStr">
        <is>
          <t>Jurassic</t>
        </is>
      </c>
      <c r="J105" s="8" t="n">
        <v>201.4</v>
      </c>
      <c r="K105" s="9">
        <f>IF(OR($I105="",$J105=""),"",IFERROR((VLOOKUP($I105,intervals!$A:$C,2,FALSE)-$J105)/(VLOOKUP($I105,intervals!$A:$C,2,FALSE)-VLOOKUP($I105,intervals!$A:$C,3,FALSE)),""))</f>
        <v/>
      </c>
      <c r="L105" s="7" t="inlineStr">
        <is>
          <t>gabbro</t>
        </is>
      </c>
      <c r="M105" s="5" t="inlineStr"/>
      <c r="N105" s="5" t="inlineStr">
        <is>
          <t>plutonic</t>
        </is>
      </c>
      <c r="O105" s="5" t="inlineStr">
        <is>
          <t>Mesozoic Jurassic Early - Middle; gabbro island arc &amp; continental [Plutonic Complex]</t>
        </is>
      </c>
      <c r="P105" s="5" t="inlineStr"/>
      <c r="Q105" s="5" t="inlineStr"/>
      <c r="R105" s="5" t="inlineStr">
        <is>
          <t>intrusive</t>
        </is>
      </c>
      <c r="S105" s="5" t="inlineStr"/>
      <c r="T105" s="5" t="inlineStr">
        <is>
          <t>GSJ 200k Seamless J1-2_pbg_a</t>
        </is>
      </c>
      <c r="U105" s="5" t="inlineStr"/>
      <c r="V105" s="10" t="inlineStr">
        <is>
          <t>J1-2_pbg_a</t>
        </is>
      </c>
      <c r="W105" s="10" t="inlineStr">
        <is>
          <t>中生代 前期ジュラ紀〜中期ジュラ紀</t>
        </is>
      </c>
      <c r="X105" s="10" t="inlineStr">
        <is>
          <t>Mesozoic Jurassic Early - Middle</t>
        </is>
      </c>
      <c r="Y105" s="10" t="inlineStr">
        <is>
          <t>斑れい岩 島弧・大陸</t>
        </is>
      </c>
      <c r="Z105" s="10" t="inlineStr">
        <is>
          <t>gabbro island arc &amp; continental</t>
        </is>
      </c>
      <c r="AA105" s="10" t="inlineStr">
        <is>
          <t>火成岩</t>
        </is>
      </c>
      <c r="AB105" s="10" t="inlineStr">
        <is>
          <t>Igneous rocks</t>
        </is>
      </c>
      <c r="AC105" s="10" t="inlineStr">
        <is>
          <t>Plutonic Complex</t>
        </is>
      </c>
    </row>
    <row r="106">
      <c r="A106" s="5" t="inlineStr">
        <is>
          <t>m200k_NI-54-31_u104</t>
        </is>
      </c>
      <c r="B106" s="6" t="inlineStr">
        <is>
          <t>col_8</t>
        </is>
      </c>
      <c r="C106" s="6" t="n">
        <v>3</v>
      </c>
      <c r="D106" s="7" t="inlineStr">
        <is>
          <t>Maastrichtian Granite (Kofu Plutonic)</t>
        </is>
      </c>
      <c r="E106" s="5" t="inlineStr">
        <is>
          <t>Kofu Plutonic Complex</t>
        </is>
      </c>
      <c r="F106" s="6" t="inlineStr">
        <is>
          <t>Maastrichtian</t>
        </is>
      </c>
      <c r="G106" s="8" t="n">
        <v>66</v>
      </c>
      <c r="H106" s="9">
        <f>IF(OR($F106="",$G106=""),"",IFERROR((VLOOKUP($F106,intervals!$A:$C,2,FALSE)-$G106)/(VLOOKUP($F106,intervals!$A:$C,2,FALSE)-VLOOKUP($F106,intervals!$A:$C,3,FALSE)),""))</f>
        <v/>
      </c>
      <c r="I106" s="6" t="inlineStr">
        <is>
          <t>Campanian</t>
        </is>
      </c>
      <c r="J106" s="8" t="n">
        <v>83.59999999999999</v>
      </c>
      <c r="K106" s="9">
        <f>IF(OR($I106="",$J106=""),"",IFERROR((VLOOKUP($I106,intervals!$A:$C,2,FALSE)-$J106)/(VLOOKUP($I106,intervals!$A:$C,2,FALSE)-VLOOKUP($I106,intervals!$A:$C,3,FALSE)),""))</f>
        <v/>
      </c>
      <c r="L106" s="7" t="inlineStr">
        <is>
          <t>granite</t>
        </is>
      </c>
      <c r="M106" s="5" t="inlineStr"/>
      <c r="N106" s="5" t="inlineStr">
        <is>
          <t>plutonic</t>
        </is>
      </c>
      <c r="O106" s="5" t="inlineStr">
        <is>
          <t>Mesozoic Late Cretaceous Campanian - Maastrichtian; massive granite island arc &amp; continental [Plutonic Complex]</t>
        </is>
      </c>
      <c r="P106" s="5" t="inlineStr"/>
      <c r="Q106" s="5" t="inlineStr"/>
      <c r="R106" s="5" t="inlineStr">
        <is>
          <t>intrusive</t>
        </is>
      </c>
      <c r="S106" s="5" t="inlineStr"/>
      <c r="T106" s="5" t="inlineStr">
        <is>
          <t>GSJ 200k Seamless K22_pam_a</t>
        </is>
      </c>
      <c r="U106" s="5" t="inlineStr"/>
      <c r="V106" s="10" t="inlineStr">
        <is>
          <t>K22_pam_a</t>
        </is>
      </c>
      <c r="W106" s="10" t="inlineStr">
        <is>
          <t>中生代 後期白亜紀 カンパニアン期〜マーストリヒチアン期</t>
        </is>
      </c>
      <c r="X106" s="10" t="inlineStr">
        <is>
          <t>Mesozoic Late Cretaceous Campanian - Maastrichtian</t>
        </is>
      </c>
      <c r="Y106" s="10" t="inlineStr">
        <is>
          <t>花崗岩 塊状 島弧・大陸</t>
        </is>
      </c>
      <c r="Z106" s="10" t="inlineStr">
        <is>
          <t>massive granite island arc &amp; continental</t>
        </is>
      </c>
      <c r="AA106" s="10" t="inlineStr">
        <is>
          <t>火成岩</t>
        </is>
      </c>
      <c r="AB106" s="10" t="inlineStr">
        <is>
          <t>Igneous rocks</t>
        </is>
      </c>
      <c r="AC106" s="10" t="inlineStr">
        <is>
          <t>Plutonic Complex</t>
        </is>
      </c>
    </row>
    <row r="107">
      <c r="A107" s="5" t="inlineStr">
        <is>
          <t>m200k_NI-54-31_u106</t>
        </is>
      </c>
      <c r="B107" s="6" t="inlineStr">
        <is>
          <t>col_8</t>
        </is>
      </c>
      <c r="C107" s="6" t="n">
        <v>4</v>
      </c>
      <c r="D107" s="7" t="inlineStr">
        <is>
          <t>Maastrichtian Diorite (Kofu Plutonic)</t>
        </is>
      </c>
      <c r="E107" s="5" t="inlineStr">
        <is>
          <t>Kofu Plutonic Complex</t>
        </is>
      </c>
      <c r="F107" s="6" t="inlineStr">
        <is>
          <t>Maastrichtian</t>
        </is>
      </c>
      <c r="G107" s="8" t="n">
        <v>66</v>
      </c>
      <c r="H107" s="9">
        <f>IF(OR($F107="",$G107=""),"",IFERROR((VLOOKUP($F107,intervals!$A:$C,2,FALSE)-$G107)/(VLOOKUP($F107,intervals!$A:$C,2,FALSE)-VLOOKUP($F107,intervals!$A:$C,3,FALSE)),""))</f>
        <v/>
      </c>
      <c r="I107" s="6" t="inlineStr">
        <is>
          <t>Campanian</t>
        </is>
      </c>
      <c r="J107" s="8" t="n">
        <v>83.59999999999999</v>
      </c>
      <c r="K107" s="9">
        <f>IF(OR($I107="",$J107=""),"",IFERROR((VLOOKUP($I107,intervals!$A:$C,2,FALSE)-$J107)/(VLOOKUP($I107,intervals!$A:$C,2,FALSE)-VLOOKUP($I107,intervals!$A:$C,3,FALSE)),""))</f>
        <v/>
      </c>
      <c r="L107" s="7" t="inlineStr">
        <is>
          <t>diorite</t>
        </is>
      </c>
      <c r="M107" s="5" t="inlineStr"/>
      <c r="N107" s="5" t="inlineStr">
        <is>
          <t>plutonic</t>
        </is>
      </c>
      <c r="O107" s="5" t="inlineStr">
        <is>
          <t>Mesozoic Late Cretaceous Campanian - Maastrichtian; diorite &amp; quartz diorite island arc &amp; continental [Plutonic Complex]</t>
        </is>
      </c>
      <c r="P107" s="5" t="inlineStr"/>
      <c r="Q107" s="5" t="inlineStr"/>
      <c r="R107" s="5" t="inlineStr">
        <is>
          <t>intrusive</t>
        </is>
      </c>
      <c r="S107" s="5" t="inlineStr"/>
      <c r="T107" s="5" t="inlineStr">
        <is>
          <t>GSJ 200k Seamless K22_pbd_a</t>
        </is>
      </c>
      <c r="U107" s="5" t="inlineStr"/>
      <c r="V107" s="10" t="inlineStr">
        <is>
          <t>K22_pbd_a</t>
        </is>
      </c>
      <c r="W107" s="10" t="inlineStr">
        <is>
          <t>中生代 後期白亜紀 カンパニアン期〜マーストリヒチアン期</t>
        </is>
      </c>
      <c r="X107" s="10" t="inlineStr">
        <is>
          <t>Mesozoic Late Cretaceous Campanian - Maastrichtian</t>
        </is>
      </c>
      <c r="Y107" s="10" t="inlineStr">
        <is>
          <t>閃緑岩・石英閃緑岩 島弧・大陸</t>
        </is>
      </c>
      <c r="Z107" s="10" t="inlineStr">
        <is>
          <t>diorite &amp; quartz diorite island arc &amp; continental</t>
        </is>
      </c>
      <c r="AA107" s="10" t="inlineStr">
        <is>
          <t>火成岩</t>
        </is>
      </c>
      <c r="AB107" s="10" t="inlineStr">
        <is>
          <t>Igneous rocks</t>
        </is>
      </c>
      <c r="AC107" s="10" t="inlineStr">
        <is>
          <t>Plutonic Complex</t>
        </is>
      </c>
    </row>
    <row r="108">
      <c r="A108" s="5" t="inlineStr">
        <is>
          <t>m200k_NI-54-31_u105</t>
        </is>
      </c>
      <c r="B108" s="6" t="inlineStr">
        <is>
          <t>col_8</t>
        </is>
      </c>
      <c r="C108" s="6" t="n">
        <v>5</v>
      </c>
      <c r="D108" s="7" t="inlineStr">
        <is>
          <t>Serravallian Granite (Kofu Plutonic)</t>
        </is>
      </c>
      <c r="E108" s="5" t="inlineStr">
        <is>
          <t>Kofu Plutonic Complex</t>
        </is>
      </c>
      <c r="F108" s="6" t="inlineStr">
        <is>
          <t>Serravallian</t>
        </is>
      </c>
      <c r="G108" s="8" t="n">
        <v>11.63</v>
      </c>
      <c r="H108" s="9">
        <f>IF(OR($F108="",$G108=""),"",IFERROR((VLOOKUP($F108,intervals!$A:$C,2,FALSE)-$G108)/(VLOOKUP($F108,intervals!$A:$C,2,FALSE)-VLOOKUP($F108,intervals!$A:$C,3,FALSE)),""))</f>
        <v/>
      </c>
      <c r="I108" s="6" t="inlineStr">
        <is>
          <t>Langhian</t>
        </is>
      </c>
      <c r="J108" s="8" t="n">
        <v>15.98</v>
      </c>
      <c r="K108" s="9">
        <f>IF(OR($I108="",$J108=""),"",IFERROR((VLOOKUP($I108,intervals!$A:$C,2,FALSE)-$J108)/(VLOOKUP($I108,intervals!$A:$C,2,FALSE)-VLOOKUP($I108,intervals!$A:$C,3,FALSE)),""))</f>
        <v/>
      </c>
      <c r="L108" s="7" t="inlineStr">
        <is>
          <t>granite</t>
        </is>
      </c>
      <c r="M108" s="5" t="inlineStr"/>
      <c r="N108" s="5" t="inlineStr">
        <is>
          <t>plutonic</t>
        </is>
      </c>
      <c r="O108" s="5" t="inlineStr">
        <is>
          <t>Cenozoic Neogene Miocene late Langhian - early Serravallian; massive granite island arc &amp; continental [Plutonic Complex]</t>
        </is>
      </c>
      <c r="P108" s="5" t="inlineStr"/>
      <c r="Q108" s="5" t="inlineStr"/>
      <c r="R108" s="5" t="inlineStr">
        <is>
          <t>intrusive</t>
        </is>
      </c>
      <c r="S108" s="5" t="inlineStr"/>
      <c r="T108" s="5" t="inlineStr">
        <is>
          <t>GSJ 200k Seamless N21_pam_a</t>
        </is>
      </c>
      <c r="U108" s="5" t="inlineStr"/>
      <c r="V108" s="10" t="inlineStr">
        <is>
          <t>N21_pam_a</t>
        </is>
      </c>
      <c r="W108" s="10" t="inlineStr">
        <is>
          <t>新生代 新第三紀 中新世 後期ランギアン期〜前期サーラバリアン期</t>
        </is>
      </c>
      <c r="X108" s="10" t="inlineStr">
        <is>
          <t>Cenozoic Neogene Miocene late Langhian - early Serravallian</t>
        </is>
      </c>
      <c r="Y108" s="10" t="inlineStr">
        <is>
          <t>花崗岩 塊状 島弧・大陸</t>
        </is>
      </c>
      <c r="Z108" s="10" t="inlineStr">
        <is>
          <t>massive granite island arc &amp; continental</t>
        </is>
      </c>
      <c r="AA108" s="10" t="inlineStr">
        <is>
          <t>火成岩</t>
        </is>
      </c>
      <c r="AB108" s="10" t="inlineStr">
        <is>
          <t>Igneous rocks</t>
        </is>
      </c>
      <c r="AC108" s="10" t="inlineStr">
        <is>
          <t>Plutonic Complex</t>
        </is>
      </c>
    </row>
    <row r="109">
      <c r="A109" s="5" t="inlineStr">
        <is>
          <t>m200k_NI-54-31_u107</t>
        </is>
      </c>
      <c r="B109" s="6" t="inlineStr">
        <is>
          <t>col_8</t>
        </is>
      </c>
      <c r="C109" s="6" t="n">
        <v>6</v>
      </c>
      <c r="D109" s="7" t="inlineStr">
        <is>
          <t>Serravallian Gabbro (Kofu Plutonic)</t>
        </is>
      </c>
      <c r="E109" s="5" t="inlineStr">
        <is>
          <t>Kofu Plutonic Complex</t>
        </is>
      </c>
      <c r="F109" s="6" t="inlineStr">
        <is>
          <t>Serravallian</t>
        </is>
      </c>
      <c r="G109" s="8" t="n">
        <v>11.63</v>
      </c>
      <c r="H109" s="9">
        <f>IF(OR($F109="",$G109=""),"",IFERROR((VLOOKUP($F109,intervals!$A:$C,2,FALSE)-$G109)/(VLOOKUP($F109,intervals!$A:$C,2,FALSE)-VLOOKUP($F109,intervals!$A:$C,3,FALSE)),""))</f>
        <v/>
      </c>
      <c r="I109" s="6" t="inlineStr">
        <is>
          <t>Langhian</t>
        </is>
      </c>
      <c r="J109" s="8" t="n">
        <v>15.98</v>
      </c>
      <c r="K109" s="9">
        <f>IF(OR($I109="",$J109=""),"",IFERROR((VLOOKUP($I109,intervals!$A:$C,2,FALSE)-$J109)/(VLOOKUP($I109,intervals!$A:$C,2,FALSE)-VLOOKUP($I109,intervals!$A:$C,3,FALSE)),""))</f>
        <v/>
      </c>
      <c r="L109" s="7" t="inlineStr">
        <is>
          <t>gabbro</t>
        </is>
      </c>
      <c r="M109" s="5" t="inlineStr"/>
      <c r="N109" s="5" t="inlineStr">
        <is>
          <t>plutonic</t>
        </is>
      </c>
      <c r="O109" s="5" t="inlineStr">
        <is>
          <t>Cenozoic Neogene Miocene late Langhian - early Serravallian; gabbro island arc &amp; continental [Plutonic Complex]</t>
        </is>
      </c>
      <c r="P109" s="5" t="inlineStr"/>
      <c r="Q109" s="5" t="inlineStr"/>
      <c r="R109" s="5" t="inlineStr">
        <is>
          <t>intrusive</t>
        </is>
      </c>
      <c r="S109" s="5" t="inlineStr"/>
      <c r="T109" s="5" t="inlineStr">
        <is>
          <t>GSJ 200k Seamless N21_pbg_a</t>
        </is>
      </c>
      <c r="U109" s="5" t="inlineStr"/>
      <c r="V109" s="10" t="inlineStr">
        <is>
          <t>N21_pbg_a</t>
        </is>
      </c>
      <c r="W109" s="10" t="inlineStr">
        <is>
          <t>新生代 新第三紀 中新世 後期ランギアン期〜前期サーラバリアン期</t>
        </is>
      </c>
      <c r="X109" s="10" t="inlineStr">
        <is>
          <t>Cenozoic Neogene Miocene late Langhian - early Serravallian</t>
        </is>
      </c>
      <c r="Y109" s="10" t="inlineStr">
        <is>
          <t>斑れい岩 島弧・大陸</t>
        </is>
      </c>
      <c r="Z109" s="10" t="inlineStr">
        <is>
          <t>gabbro island arc &amp; continental</t>
        </is>
      </c>
      <c r="AA109" s="10" t="inlineStr">
        <is>
          <t>火成岩</t>
        </is>
      </c>
      <c r="AB109" s="10" t="inlineStr">
        <is>
          <t>Igneous rocks</t>
        </is>
      </c>
      <c r="AC109" s="10" t="inlineStr">
        <is>
          <t>Plutonic Complex</t>
        </is>
      </c>
    </row>
    <row r="110">
      <c r="A110" s="5" t="inlineStr">
        <is>
          <t>m200k_NI-54-31_u108</t>
        </is>
      </c>
      <c r="B110" s="6" t="inlineStr">
        <is>
          <t>col_8</t>
        </is>
      </c>
      <c r="C110" s="6" t="n">
        <v>7</v>
      </c>
      <c r="D110" s="7" t="inlineStr">
        <is>
          <t>Serravallian Diorite (Kofu Plutonic)</t>
        </is>
      </c>
      <c r="E110" s="5" t="inlineStr">
        <is>
          <t>Kofu Plutonic Complex</t>
        </is>
      </c>
      <c r="F110" s="6" t="inlineStr">
        <is>
          <t>Serravallian</t>
        </is>
      </c>
      <c r="G110" s="8" t="n">
        <v>11.63</v>
      </c>
      <c r="H110" s="9">
        <f>IF(OR($F110="",$G110=""),"",IFERROR((VLOOKUP($F110,intervals!$A:$C,2,FALSE)-$G110)/(VLOOKUP($F110,intervals!$A:$C,2,FALSE)-VLOOKUP($F110,intervals!$A:$C,3,FALSE)),""))</f>
        <v/>
      </c>
      <c r="I110" s="6" t="inlineStr">
        <is>
          <t>Langhian</t>
        </is>
      </c>
      <c r="J110" s="8" t="n">
        <v>15.98</v>
      </c>
      <c r="K110" s="9">
        <f>IF(OR($I110="",$J110=""),"",IFERROR((VLOOKUP($I110,intervals!$A:$C,2,FALSE)-$J110)/(VLOOKUP($I110,intervals!$A:$C,2,FALSE)-VLOOKUP($I110,intervals!$A:$C,3,FALSE)),""))</f>
        <v/>
      </c>
      <c r="L110" s="7" t="inlineStr">
        <is>
          <t>diorite</t>
        </is>
      </c>
      <c r="M110" s="5" t="inlineStr"/>
      <c r="N110" s="5" t="inlineStr">
        <is>
          <t>plutonic</t>
        </is>
      </c>
      <c r="O110" s="5" t="inlineStr">
        <is>
          <t>Cenozoic Neogene Miocene late Langhian - early Serravallian; diorite &amp; quartz diorite island arc &amp; continental [Plutonic Complex]</t>
        </is>
      </c>
      <c r="P110" s="5" t="inlineStr"/>
      <c r="Q110" s="5" t="inlineStr"/>
      <c r="R110" s="5" t="inlineStr">
        <is>
          <t>intrusive</t>
        </is>
      </c>
      <c r="S110" s="5" t="inlineStr"/>
      <c r="T110" s="5" t="inlineStr">
        <is>
          <t>GSJ 200k Seamless N21_pbd_a</t>
        </is>
      </c>
      <c r="U110" s="5" t="inlineStr"/>
      <c r="V110" s="10" t="inlineStr">
        <is>
          <t>N21_pbd_a</t>
        </is>
      </c>
      <c r="W110" s="10" t="inlineStr">
        <is>
          <t>新生代 新第三紀 中新世 後期ランギアン期〜前期サーラバリアン期</t>
        </is>
      </c>
      <c r="X110" s="10" t="inlineStr">
        <is>
          <t>Cenozoic Neogene Miocene late Langhian - early Serravallian</t>
        </is>
      </c>
      <c r="Y110" s="10" t="inlineStr">
        <is>
          <t>閃緑岩・石英閃緑岩 島弧・大陸</t>
        </is>
      </c>
      <c r="Z110" s="10" t="inlineStr">
        <is>
          <t>diorite &amp; quartz diorite island arc &amp; continental</t>
        </is>
      </c>
      <c r="AA110" s="10" t="inlineStr">
        <is>
          <t>火成岩</t>
        </is>
      </c>
      <c r="AB110" s="10" t="inlineStr">
        <is>
          <t>Igneous rocks</t>
        </is>
      </c>
      <c r="AC110" s="10" t="inlineStr">
        <is>
          <t>Plutonic Complex</t>
        </is>
      </c>
    </row>
    <row r="111">
      <c r="A111" s="5" t="inlineStr">
        <is>
          <t>m200k_NI-54-31_u103</t>
        </is>
      </c>
      <c r="B111" s="6" t="inlineStr">
        <is>
          <t>col_8</t>
        </is>
      </c>
      <c r="C111" s="6" t="n">
        <v>8</v>
      </c>
      <c r="D111" s="7" t="inlineStr">
        <is>
          <t>Tortonian Diorite (Kofu Plutonic)</t>
        </is>
      </c>
      <c r="E111" s="5" t="inlineStr">
        <is>
          <t>Kofu Plutonic Complex</t>
        </is>
      </c>
      <c r="F111" s="6" t="inlineStr">
        <is>
          <t>Tortonian</t>
        </is>
      </c>
      <c r="G111" s="8" t="n">
        <v>7.246</v>
      </c>
      <c r="H111" s="9">
        <f>IF(OR($F111="",$G111=""),"",IFERROR((VLOOKUP($F111,intervals!$A:$C,2,FALSE)-$G111)/(VLOOKUP($F111,intervals!$A:$C,2,FALSE)-VLOOKUP($F111,intervals!$A:$C,3,FALSE)),""))</f>
        <v/>
      </c>
      <c r="I111" s="6" t="inlineStr">
        <is>
          <t>Serravallian</t>
        </is>
      </c>
      <c r="J111" s="8" t="n">
        <v>13.82</v>
      </c>
      <c r="K111" s="9">
        <f>IF(OR($I111="",$J111=""),"",IFERROR((VLOOKUP($I111,intervals!$A:$C,2,FALSE)-$J111)/(VLOOKUP($I111,intervals!$A:$C,2,FALSE)-VLOOKUP($I111,intervals!$A:$C,3,FALSE)),""))</f>
        <v/>
      </c>
      <c r="L111" s="7" t="inlineStr">
        <is>
          <t>diorite</t>
        </is>
      </c>
      <c r="M111" s="5" t="inlineStr"/>
      <c r="N111" s="5" t="inlineStr">
        <is>
          <t>plutonic</t>
        </is>
      </c>
      <c r="O111" s="5" t="inlineStr">
        <is>
          <t>Cenozoic Neogene Miocene late Serravallian - Tortonian; diorite &amp; quartz diorite island arc &amp; continental [Plutonic Complex]</t>
        </is>
      </c>
      <c r="P111" s="5" t="inlineStr"/>
      <c r="Q111" s="5" t="inlineStr"/>
      <c r="R111" s="5" t="inlineStr">
        <is>
          <t>intrusive</t>
        </is>
      </c>
      <c r="S111" s="5" t="inlineStr"/>
      <c r="T111" s="5" t="inlineStr">
        <is>
          <t>GSJ 200k Seamless N22_pbd_a</t>
        </is>
      </c>
      <c r="U111" s="5" t="inlineStr"/>
      <c r="V111" s="10" t="inlineStr">
        <is>
          <t>N22_pbd_a</t>
        </is>
      </c>
      <c r="W111" s="10" t="inlineStr">
        <is>
          <t>新生代 新第三紀 中新世 後期サーラバリアン期〜トートニアン期</t>
        </is>
      </c>
      <c r="X111" s="10" t="inlineStr">
        <is>
          <t>Cenozoic Neogene Miocene late Serravallian - Tortonian</t>
        </is>
      </c>
      <c r="Y111" s="10" t="inlineStr">
        <is>
          <t>閃緑岩・石英閃緑岩 島弧・大陸</t>
        </is>
      </c>
      <c r="Z111" s="10" t="inlineStr">
        <is>
          <t>diorite &amp; quartz diorite island arc &amp; continental</t>
        </is>
      </c>
      <c r="AA111" s="10" t="inlineStr">
        <is>
          <t>火成岩</t>
        </is>
      </c>
      <c r="AB111" s="10" t="inlineStr">
        <is>
          <t>Igneous rocks</t>
        </is>
      </c>
      <c r="AC111" s="10" t="inlineStr">
        <is>
          <t>Plutonic Complex</t>
        </is>
      </c>
    </row>
    <row r="112">
      <c r="A112" s="5" t="inlineStr">
        <is>
          <t>m200k_NI-54-31_u111</t>
        </is>
      </c>
      <c r="B112" s="6" t="inlineStr">
        <is>
          <t>col_8</t>
        </is>
      </c>
      <c r="C112" s="6" t="n">
        <v>9</v>
      </c>
      <c r="D112" s="7" t="inlineStr">
        <is>
          <t>Tortonian Granite (Kofu Plutonic)</t>
        </is>
      </c>
      <c r="E112" s="5" t="inlineStr">
        <is>
          <t>Kofu Plutonic Complex</t>
        </is>
      </c>
      <c r="F112" s="6" t="inlineStr">
        <is>
          <t>Tortonian</t>
        </is>
      </c>
      <c r="G112" s="8" t="n">
        <v>7.246</v>
      </c>
      <c r="H112" s="9">
        <f>IF(OR($F112="",$G112=""),"",IFERROR((VLOOKUP($F112,intervals!$A:$C,2,FALSE)-$G112)/(VLOOKUP($F112,intervals!$A:$C,2,FALSE)-VLOOKUP($F112,intervals!$A:$C,3,FALSE)),""))</f>
        <v/>
      </c>
      <c r="I112" s="6" t="inlineStr">
        <is>
          <t>Serravallian</t>
        </is>
      </c>
      <c r="J112" s="8" t="n">
        <v>13.82</v>
      </c>
      <c r="K112" s="9">
        <f>IF(OR($I112="",$J112=""),"",IFERROR((VLOOKUP($I112,intervals!$A:$C,2,FALSE)-$J112)/(VLOOKUP($I112,intervals!$A:$C,2,FALSE)-VLOOKUP($I112,intervals!$A:$C,3,FALSE)),""))</f>
        <v/>
      </c>
      <c r="L112" s="7" t="inlineStr">
        <is>
          <t>granite</t>
        </is>
      </c>
      <c r="M112" s="5" t="inlineStr"/>
      <c r="N112" s="5" t="inlineStr">
        <is>
          <t>plutonic</t>
        </is>
      </c>
      <c r="O112" s="5" t="inlineStr">
        <is>
          <t>Cenozoic Neogene Miocene late Serravallian - Tortonian; massive granite island arc &amp; continental [Plutonic Complex]</t>
        </is>
      </c>
      <c r="P112" s="5" t="inlineStr"/>
      <c r="Q112" s="5" t="inlineStr"/>
      <c r="R112" s="5" t="inlineStr">
        <is>
          <t>intrusive</t>
        </is>
      </c>
      <c r="S112" s="5" t="inlineStr"/>
      <c r="T112" s="5" t="inlineStr">
        <is>
          <t>GSJ 200k Seamless N22_pam_a</t>
        </is>
      </c>
      <c r="U112" s="5" t="inlineStr"/>
      <c r="V112" s="10" t="inlineStr">
        <is>
          <t>N22_pam_a</t>
        </is>
      </c>
      <c r="W112" s="10" t="inlineStr">
        <is>
          <t>新生代 新第三紀 中新世 後期サーラバリアン期〜トートニアン期</t>
        </is>
      </c>
      <c r="X112" s="10" t="inlineStr">
        <is>
          <t>Cenozoic Neogene Miocene late Serravallian - Tortonian</t>
        </is>
      </c>
      <c r="Y112" s="10" t="inlineStr">
        <is>
          <t>花崗岩 塊状 島弧・大陸</t>
        </is>
      </c>
      <c r="Z112" s="10" t="inlineStr">
        <is>
          <t>massive granite island arc &amp; continental</t>
        </is>
      </c>
      <c r="AA112" s="10" t="inlineStr">
        <is>
          <t>火成岩</t>
        </is>
      </c>
      <c r="AB112" s="10" t="inlineStr">
        <is>
          <t>Igneous rocks</t>
        </is>
      </c>
      <c r="AC112" s="10" t="inlineStr">
        <is>
          <t>Plutonic Complex</t>
        </is>
      </c>
    </row>
    <row r="113">
      <c r="A113" s="5" t="inlineStr">
        <is>
          <t>m200k_NI-54-31_u110</t>
        </is>
      </c>
      <c r="B113" s="6" t="inlineStr">
        <is>
          <t>col_8</t>
        </is>
      </c>
      <c r="C113" s="6" t="n">
        <v>10</v>
      </c>
      <c r="D113" s="7" t="inlineStr">
        <is>
          <t>Pliocene Diorite (Kofu Plutonic)</t>
        </is>
      </c>
      <c r="E113" s="5" t="inlineStr">
        <is>
          <t>Kofu Plutonic Complex</t>
        </is>
      </c>
      <c r="F113" s="6" t="inlineStr">
        <is>
          <t>Pliocene</t>
        </is>
      </c>
      <c r="G113" s="8" t="n">
        <v>2.58</v>
      </c>
      <c r="H113" s="9">
        <f>IF(OR($F113="",$G113=""),"",IFERROR((VLOOKUP($F113,intervals!$A:$C,2,FALSE)-$G113)/(VLOOKUP($F113,intervals!$A:$C,2,FALSE)-VLOOKUP($F113,intervals!$A:$C,3,FALSE)),""))</f>
        <v/>
      </c>
      <c r="I113" s="6" t="inlineStr">
        <is>
          <t>Messinian</t>
        </is>
      </c>
      <c r="J113" s="8" t="n">
        <v>7.246</v>
      </c>
      <c r="K113" s="9">
        <f>IF(OR($I113="",$J113=""),"",IFERROR((VLOOKUP($I113,intervals!$A:$C,2,FALSE)-$J113)/(VLOOKUP($I113,intervals!$A:$C,2,FALSE)-VLOOKUP($I113,intervals!$A:$C,3,FALSE)),""))</f>
        <v/>
      </c>
      <c r="L113" s="7" t="inlineStr">
        <is>
          <t>diorite</t>
        </is>
      </c>
      <c r="M113" s="5" t="inlineStr"/>
      <c r="N113" s="5" t="inlineStr">
        <is>
          <t>plutonic</t>
        </is>
      </c>
      <c r="O113" s="5" t="inlineStr">
        <is>
          <t>Cenozoic Neogene Miocene Messinian - Pliocene; diorite &amp; quartz diorite island arc &amp; continental [Plutonic Complex]</t>
        </is>
      </c>
      <c r="P113" s="5" t="inlineStr"/>
      <c r="Q113" s="5" t="inlineStr"/>
      <c r="R113" s="5" t="inlineStr">
        <is>
          <t>intrusive</t>
        </is>
      </c>
      <c r="S113" s="5" t="inlineStr"/>
      <c r="T113" s="5" t="inlineStr">
        <is>
          <t>GSJ 200k Seamless N3_pbd_a</t>
        </is>
      </c>
      <c r="U113" s="5" t="inlineStr"/>
      <c r="V113" s="10" t="inlineStr">
        <is>
          <t>N3_pbd_a</t>
        </is>
      </c>
      <c r="W113" s="10" t="inlineStr">
        <is>
          <t>新生代 新第三紀 中新世 メッシニアン期〜鮮新世</t>
        </is>
      </c>
      <c r="X113" s="10" t="inlineStr">
        <is>
          <t>Cenozoic Neogene Miocene Messinian - Pliocene</t>
        </is>
      </c>
      <c r="Y113" s="10" t="inlineStr">
        <is>
          <t>閃緑岩・石英閃緑岩 島弧・大陸</t>
        </is>
      </c>
      <c r="Z113" s="10" t="inlineStr">
        <is>
          <t>diorite &amp; quartz diorite island arc &amp; continental</t>
        </is>
      </c>
      <c r="AA113" s="10" t="inlineStr">
        <is>
          <t>火成岩</t>
        </is>
      </c>
      <c r="AB113" s="10" t="inlineStr">
        <is>
          <t>Igneous rocks</t>
        </is>
      </c>
      <c r="AC113" s="10" t="inlineStr">
        <is>
          <t>Plutonic Complex</t>
        </is>
      </c>
    </row>
    <row r="114">
      <c r="A114" s="5" t="inlineStr">
        <is>
          <t>m200k_NI-54-31_u112</t>
        </is>
      </c>
      <c r="B114" s="6" t="inlineStr">
        <is>
          <t>col_8</t>
        </is>
      </c>
      <c r="C114" s="6" t="n">
        <v>11</v>
      </c>
      <c r="D114" s="7" t="inlineStr">
        <is>
          <t>Pliocene Gabbro (Kofu Plutonic)</t>
        </is>
      </c>
      <c r="E114" s="5" t="inlineStr">
        <is>
          <t>Kofu Plutonic Complex</t>
        </is>
      </c>
      <c r="F114" s="6" t="inlineStr">
        <is>
          <t>Pliocene</t>
        </is>
      </c>
      <c r="G114" s="8" t="n">
        <v>2.58</v>
      </c>
      <c r="H114" s="9">
        <f>IF(OR($F114="",$G114=""),"",IFERROR((VLOOKUP($F114,intervals!$A:$C,2,FALSE)-$G114)/(VLOOKUP($F114,intervals!$A:$C,2,FALSE)-VLOOKUP($F114,intervals!$A:$C,3,FALSE)),""))</f>
        <v/>
      </c>
      <c r="I114" s="6" t="inlineStr">
        <is>
          <t>Messinian</t>
        </is>
      </c>
      <c r="J114" s="8" t="n">
        <v>7.246</v>
      </c>
      <c r="K114" s="9">
        <f>IF(OR($I114="",$J114=""),"",IFERROR((VLOOKUP($I114,intervals!$A:$C,2,FALSE)-$J114)/(VLOOKUP($I114,intervals!$A:$C,2,FALSE)-VLOOKUP($I114,intervals!$A:$C,3,FALSE)),""))</f>
        <v/>
      </c>
      <c r="L114" s="7" t="inlineStr">
        <is>
          <t>gabbro</t>
        </is>
      </c>
      <c r="M114" s="5" t="inlineStr"/>
      <c r="N114" s="5" t="inlineStr">
        <is>
          <t>plutonic</t>
        </is>
      </c>
      <c r="O114" s="5" t="inlineStr">
        <is>
          <t>Cenozoic Neogene Miocene Messinian - Pliocene; gabbro island arc &amp; continental [Plutonic Complex]</t>
        </is>
      </c>
      <c r="P114" s="5" t="inlineStr"/>
      <c r="Q114" s="5" t="inlineStr"/>
      <c r="R114" s="5" t="inlineStr">
        <is>
          <t>intrusive</t>
        </is>
      </c>
      <c r="S114" s="5" t="inlineStr"/>
      <c r="T114" s="5" t="inlineStr">
        <is>
          <t>GSJ 200k Seamless N3_pbg_a</t>
        </is>
      </c>
      <c r="U114" s="5" t="inlineStr"/>
      <c r="V114" s="10" t="inlineStr">
        <is>
          <t>N3_pbg_a</t>
        </is>
      </c>
      <c r="W114" s="10" t="inlineStr">
        <is>
          <t>新生代 新第三紀 中新世 メッシニアン期〜鮮新世</t>
        </is>
      </c>
      <c r="X114" s="10" t="inlineStr">
        <is>
          <t>Cenozoic Neogene Miocene Messinian - Pliocene</t>
        </is>
      </c>
      <c r="Y114" s="10" t="inlineStr">
        <is>
          <t>斑れい岩 島弧・大陸</t>
        </is>
      </c>
      <c r="Z114" s="10" t="inlineStr">
        <is>
          <t>gabbro island arc &amp; continental</t>
        </is>
      </c>
      <c r="AA114" s="10" t="inlineStr">
        <is>
          <t>火成岩</t>
        </is>
      </c>
      <c r="AB114" s="10" t="inlineStr">
        <is>
          <t>Igneous rocks</t>
        </is>
      </c>
      <c r="AC114" s="10" t="inlineStr">
        <is>
          <t>Plutonic Complex</t>
        </is>
      </c>
    </row>
  </sheetData>
  <autoFilter ref="A1:AC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Kofu (Metamorphic Belt) Column</t>
        </is>
      </c>
      <c r="C2" s="11" t="inlineStr">
        <is>
          <t>GSJ_200K_NI_54_31_Metamorphic_Belt</t>
        </is>
      </c>
      <c r="D2" s="11" t="inlineStr">
        <is>
          <t>Metamorphic Belt</t>
        </is>
      </c>
      <c r="E2" s="11" t="inlineStr">
        <is>
          <t>Cretaceous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POLYGON((138.0 35.333333, 139.0 35.333333, 139.0 36.0, 138.0 36.0, 138.0 35.333333))</t>
        </is>
      </c>
      <c r="J2" s="11" t="inlineStr">
        <is>
          <t>POINT(138.5 35.666666500000005)</t>
        </is>
      </c>
      <c r="K2" s="11" t="inlineStr">
        <is>
          <t>GSJ 200k Tectonic Skeleton: Metamorphic Belt in 甲府 (NI-54-31)</t>
        </is>
      </c>
    </row>
    <row r="3">
      <c r="A3" s="11" t="inlineStr">
        <is>
          <t>col_2</t>
        </is>
      </c>
      <c r="B3" s="11" t="inlineStr">
        <is>
          <t>Kofu (Quaternary Basin &amp; Terrace Deposits) Column</t>
        </is>
      </c>
      <c r="C3" s="11" t="inlineStr">
        <is>
          <t>GSJ_200K_NI_54_31_Quaternary_Basin_and_Terrace_Deposits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POLYGON((138.0 35.333333, 139.0 35.333333, 139.0 36.0, 138.0 36.0, 138.0 35.333333))</t>
        </is>
      </c>
      <c r="J3" s="11" t="inlineStr">
        <is>
          <t>POINT(138.5 35.666666500000005)</t>
        </is>
      </c>
      <c r="K3" s="11" t="inlineStr">
        <is>
          <t>GSJ 200k Tectonic Skeleton: Quaternary Basin &amp; Terrace Deposits in 甲府 (NI-54-31)</t>
        </is>
      </c>
    </row>
    <row r="4">
      <c r="A4" s="11" t="inlineStr">
        <is>
          <t>col_3</t>
        </is>
      </c>
      <c r="B4" s="11" t="inlineStr">
        <is>
          <t>Kofu (Quaternary Volcanic Arc) Column</t>
        </is>
      </c>
      <c r="C4" s="11" t="inlineStr">
        <is>
          <t>GSJ_200K_NI_54_31_Quaternary_Volcanic_Arc</t>
        </is>
      </c>
      <c r="D4" s="11" t="inlineStr">
        <is>
          <t>Quaternary Volcanic Arc</t>
        </is>
      </c>
      <c r="E4" s="11" t="inlineStr">
        <is>
          <t>Gelasian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POLYGON((138.0 35.333333, 139.0 35.333333, 139.0 36.0, 138.0 36.0, 138.0 35.333333))</t>
        </is>
      </c>
      <c r="J4" s="11" t="inlineStr">
        <is>
          <t>POINT(138.5 35.666666500000005)</t>
        </is>
      </c>
      <c r="K4" s="11" t="inlineStr">
        <is>
          <t>GSJ 200k Tectonic Skeleton: Quaternary Volcanic Arc in 甲府 (NI-54-31)</t>
        </is>
      </c>
    </row>
    <row r="5">
      <c r="A5" s="11" t="inlineStr">
        <is>
          <t>col_4</t>
        </is>
      </c>
      <c r="B5" s="11" t="inlineStr">
        <is>
          <t>Kofu (Neogene-Paleogene Volcanic Complex) Column</t>
        </is>
      </c>
      <c r="C5" s="11" t="inlineStr">
        <is>
          <t>GSJ_200K_NI_54_31_Neogene-Paleogene_Volcanic_Complex</t>
        </is>
      </c>
      <c r="D5" s="11" t="inlineStr">
        <is>
          <t>Neogene-Paleogene Volcanic Complex</t>
        </is>
      </c>
      <c r="E5" s="11" t="inlineStr">
        <is>
          <t>Langhian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POLYGON((138.0 35.333333, 139.0 35.333333, 139.0 36.0, 138.0 36.0, 138.0 35.333333))</t>
        </is>
      </c>
      <c r="J5" s="11" t="inlineStr">
        <is>
          <t>POINT(138.5 35.666666500000005)</t>
        </is>
      </c>
      <c r="K5" s="11" t="inlineStr">
        <is>
          <t>GSJ 200k Tectonic Skeleton: Neogene-Paleogene Volcanic Complex in 甲府 (NI-54-31)</t>
        </is>
      </c>
    </row>
    <row r="6">
      <c r="A6" s="11" t="inlineStr">
        <is>
          <t>col_5</t>
        </is>
      </c>
      <c r="B6" s="11" t="inlineStr">
        <is>
          <t>Kofu (Neogene Sedimentary Basin) Column</t>
        </is>
      </c>
      <c r="C6" s="11" t="inlineStr">
        <is>
          <t>GSJ_200K_NI_54_31_Neogene_Sedimentary_Basin</t>
        </is>
      </c>
      <c r="D6" s="11" t="inlineStr">
        <is>
          <t>Neogene Sedimentary Basin</t>
        </is>
      </c>
      <c r="E6" s="11" t="inlineStr">
        <is>
          <t>Burdigalian</t>
        </is>
      </c>
      <c r="F6" s="11" t="inlineStr">
        <is>
          <t>Pliocene</t>
        </is>
      </c>
      <c r="G6" s="11" t="n">
        <v>0</v>
      </c>
      <c r="H6" s="11" t="n">
        <v>1</v>
      </c>
      <c r="I6" s="11" t="inlineStr">
        <is>
          <t>POLYGON((138.0 35.333333, 139.0 35.333333, 139.0 36.0, 138.0 36.0, 138.0 35.333333))</t>
        </is>
      </c>
      <c r="J6" s="11" t="inlineStr">
        <is>
          <t>POINT(138.5 35.666666500000005)</t>
        </is>
      </c>
      <c r="K6" s="11" t="inlineStr">
        <is>
          <t>GSJ 200k Tectonic Skeleton: Neogene Sedimentary Basin in 甲府 (NI-54-31)</t>
        </is>
      </c>
    </row>
    <row r="7">
      <c r="A7" s="11" t="inlineStr">
        <is>
          <t>col_6</t>
        </is>
      </c>
      <c r="B7" s="11" t="inlineStr">
        <is>
          <t>Kofu (Accretionary Complex) Column</t>
        </is>
      </c>
      <c r="C7" s="11" t="inlineStr">
        <is>
          <t>GSJ_200K_NI_54_31_Accretionary_Complex</t>
        </is>
      </c>
      <c r="D7" s="11" t="inlineStr">
        <is>
          <t>Accretionary Complex</t>
        </is>
      </c>
      <c r="E7" s="11" t="inlineStr">
        <is>
          <t>Serpukhovian</t>
        </is>
      </c>
      <c r="F7" s="11" t="inlineStr">
        <is>
          <t>Serravallian</t>
        </is>
      </c>
      <c r="G7" s="11" t="n">
        <v>0</v>
      </c>
      <c r="H7" s="11" t="n">
        <v>1</v>
      </c>
      <c r="I7" s="11" t="inlineStr">
        <is>
          <t>POLYGON((138.0 35.333333, 139.0 35.333333, 139.0 36.0, 138.0 36.0, 138.0 35.333333))</t>
        </is>
      </c>
      <c r="J7" s="11" t="inlineStr">
        <is>
          <t>POINT(138.5 35.666666500000005)</t>
        </is>
      </c>
      <c r="K7" s="11" t="inlineStr">
        <is>
          <t>GSJ 200k Tectonic Skeleton: Accretionary Complex in 甲府 (NI-54-31)</t>
        </is>
      </c>
    </row>
    <row r="8">
      <c r="A8" s="11" t="inlineStr">
        <is>
          <t>col_7</t>
        </is>
      </c>
      <c r="B8" s="11" t="inlineStr">
        <is>
          <t>Kofu (Mesozoic Sedimentary Basin) Column</t>
        </is>
      </c>
      <c r="C8" s="11" t="inlineStr">
        <is>
          <t>GSJ_200K_NI_54_31_Mesozoic_Sedimentary_Basin</t>
        </is>
      </c>
      <c r="D8" s="11" t="inlineStr">
        <is>
          <t>Mesozoic Sedimentary Basin</t>
        </is>
      </c>
      <c r="E8" s="11" t="inlineStr">
        <is>
          <t>Berriasian</t>
        </is>
      </c>
      <c r="F8" s="11" t="inlineStr">
        <is>
          <t>Maastrichtian</t>
        </is>
      </c>
      <c r="G8" s="11" t="n">
        <v>0</v>
      </c>
      <c r="H8" s="11" t="n">
        <v>1</v>
      </c>
      <c r="I8" s="11" t="inlineStr">
        <is>
          <t>POLYGON((138.0 35.333333, 139.0 35.333333, 139.0 36.0, 138.0 36.0, 138.0 35.333333))</t>
        </is>
      </c>
      <c r="J8" s="11" t="inlineStr">
        <is>
          <t>POINT(138.5 35.666666500000005)</t>
        </is>
      </c>
      <c r="K8" s="11" t="inlineStr">
        <is>
          <t>GSJ 200k Tectonic Skeleton: Mesozoic Sedimentary Basin in 甲府 (NI-54-31)</t>
        </is>
      </c>
    </row>
    <row r="9">
      <c r="A9" s="11" t="inlineStr">
        <is>
          <t>col_8</t>
        </is>
      </c>
      <c r="B9" s="11" t="inlineStr">
        <is>
          <t>Kofu (Plutonic Complex) Column</t>
        </is>
      </c>
      <c r="C9" s="11" t="inlineStr">
        <is>
          <t>GSJ_200K_NI_54_31_Plutonic_Complex</t>
        </is>
      </c>
      <c r="D9" s="11" t="inlineStr">
        <is>
          <t>Plutonic Complex</t>
        </is>
      </c>
      <c r="E9" s="11" t="inlineStr">
        <is>
          <t>Jurassic</t>
        </is>
      </c>
      <c r="F9" s="11" t="inlineStr">
        <is>
          <t>Pliocene</t>
        </is>
      </c>
      <c r="G9" s="11" t="n">
        <v>0</v>
      </c>
      <c r="H9" s="11" t="n">
        <v>1</v>
      </c>
      <c r="I9" s="11" t="inlineStr">
        <is>
          <t>POLYGON((138.0 35.333333, 139.0 35.333333, 139.0 36.0, 138.0 36.0, 138.0 35.333333))</t>
        </is>
      </c>
      <c r="J9" s="11" t="inlineStr">
        <is>
          <t>POINT(138.5 35.666666500000005)</t>
        </is>
      </c>
      <c r="K9" s="11" t="inlineStr">
        <is>
          <t>GSJ 200k Tectonic Skeleton: Plutonic Complex in 甲府 (NI-54-31)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甲府 (Kofu)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2002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NI-54-31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GSJ_200K_NI_54_31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NI-54-31</t>
        </is>
      </c>
    </row>
    <row r="3">
      <c r="A3" s="11" t="inlineStr">
        <is>
          <t>name_ja</t>
        </is>
      </c>
      <c r="B3" s="11" t="inlineStr">
        <is>
          <t>甲府</t>
        </is>
      </c>
    </row>
    <row r="4">
      <c r="A4" s="11" t="inlineStr">
        <is>
          <t>name_en</t>
        </is>
      </c>
      <c r="B4" s="11" t="inlineStr">
        <is>
          <t>Kofu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2002</t>
        </is>
      </c>
    </row>
    <row r="7">
      <c r="A7" s="11" t="inlineStr">
        <is>
          <t>bbox</t>
        </is>
      </c>
      <c r="B7" s="11" t="inlineStr">
        <is>
          <t>[35.333333, 138.0, 36.0, 139.0]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m200k_NI-54-31_u001</t>
        </is>
      </c>
      <c r="B2" s="11" t="inlineStr">
        <is>
          <t>Selandian Slate (Kofu Metamorphic)</t>
        </is>
      </c>
      <c r="C2" s="11" t="inlineStr">
        <is>
          <t>中生代 後期白亜紀〜新生代 古第三紀 暁新世 セランディアン期 粘板岩  低P/T型広域変成岩　黒雲母帯</t>
        </is>
      </c>
      <c r="D2" s="11" t="inlineStr">
        <is>
          <t>中生代 後期白亜紀〜新生代 古第三紀 暁新世 セランディアン期（Mesozoic Late Cretaceous - Cenozoic Paleogene Paleocene Selandian）に形成された粘板岩  低P/T型広域変成岩　黒雲母帯（slate biotite zone of low P/T regional metamorphic rocks）。産総研シームレス地質図V2凡例記号: K2-Pg12_msl_lb</t>
        </is>
      </c>
    </row>
    <row r="3">
      <c r="A3" s="11" t="inlineStr">
        <is>
          <t>m200k_NI-54-31_u002</t>
        </is>
      </c>
      <c r="B3" s="11" t="inlineStr">
        <is>
          <t>Selandian Mafic (Kofu Metamorphic)</t>
        </is>
      </c>
      <c r="C3" s="11" t="inlineStr">
        <is>
          <t>中生代 前期白亜紀 アルビアン期〜新生代 古第三紀 暁新世 セランディアン期 苦鉄質片岩 高P/T型広域変成岩　緑泥石帯</t>
        </is>
      </c>
      <c r="D3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4">
      <c r="A4" s="11" t="inlineStr">
        <is>
          <t>m200k_NI-54-31_u003</t>
        </is>
      </c>
      <c r="B4" s="11" t="inlineStr">
        <is>
          <t>Selandian Schist (Kofu Metamorphic)</t>
        </is>
      </c>
      <c r="C4" s="11" t="inlineStr">
        <is>
          <t>中生代 前期白亜紀 アルビアン期〜新生代 古第三紀 暁新世 セランディアン期 泥質片岩 高P/T型広域変成岩　緑泥石帯</t>
        </is>
      </c>
      <c r="D4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5">
      <c r="A5" s="11" t="inlineStr">
        <is>
          <t>m200k_NI-54-31_u004</t>
        </is>
      </c>
      <c r="B5" s="11" t="inlineStr">
        <is>
          <t>Selandian Serpentinite (Kofu Metamorphic)</t>
        </is>
      </c>
      <c r="C5" s="11" t="inlineStr">
        <is>
          <t>中生代 前期白亜紀 アルビアン期〜新生代 古第三紀 暁新世 セランディアン期 蛇紋岩  高P/T型広域変成岩　緑泥石帯</t>
        </is>
      </c>
      <c r="D5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6">
      <c r="A6" s="11" t="inlineStr">
        <is>
          <t>m200k_NI-54-31_u005</t>
        </is>
      </c>
      <c r="B6" s="11" t="inlineStr">
        <is>
          <t>Selandian Schist (Kofu Metamorphic)</t>
        </is>
      </c>
      <c r="C6" s="11" t="inlineStr">
        <is>
          <t>中生代 前期白亜紀 アルビアン期〜新生代 古第三紀 暁新世 セランディアン期 珪質片岩 高P/T型広域変成岩　緑泥石帯</t>
        </is>
      </c>
      <c r="D6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緑泥石帯（siliceous schist chlorite zone of high P/T regional metamorphic rocks）。産総研シームレス地質図V2凡例記号: K122-Pg12_mscsi_hc</t>
        </is>
      </c>
    </row>
    <row r="7">
      <c r="A7" s="11" t="inlineStr">
        <is>
          <t>m200k_NI-54-31_u006</t>
        </is>
      </c>
      <c r="B7" s="11" t="inlineStr">
        <is>
          <t>Selandian Schist (Kofu Metamorphic)</t>
        </is>
      </c>
      <c r="C7" s="1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  <c r="D7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K2-Pg12_msmpe_lks</t>
        </is>
      </c>
    </row>
    <row r="8">
      <c r="A8" s="11" t="inlineStr">
        <is>
          <t>m200k_NI-54-31_u007</t>
        </is>
      </c>
      <c r="B8" s="11" t="inlineStr">
        <is>
          <t>Selandian Metabasalt (Kofu Metamorphic)</t>
        </is>
      </c>
      <c r="C8" s="11" t="inlineStr">
        <is>
          <t>中生代 前期白亜紀 アルビアン期〜新生代 古第三紀 暁新世 セランディアン期 変成玄武岩 高P/T型広域変成岩　緑泥石帯</t>
        </is>
      </c>
      <c r="D8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9">
      <c r="A9" s="11" t="inlineStr">
        <is>
          <t>m200k_NI-54-31_u008</t>
        </is>
      </c>
      <c r="B9" s="11" t="inlineStr">
        <is>
          <t>Selandian Schist (Kofu Metamorphic)</t>
        </is>
      </c>
      <c r="C9" s="11" t="inlineStr">
        <is>
          <t>中生代 後期白亜紀〜新生代 古第三紀 暁新世 セランディアン期 泥質片岩 低P/T型広域変成岩　黒雲母帯</t>
        </is>
      </c>
      <c r="D9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10">
      <c r="A10" s="11" t="inlineStr">
        <is>
          <t>m200k_NI-54-31_u009</t>
        </is>
      </c>
      <c r="B10" s="11" t="inlineStr">
        <is>
          <t>Selandian Phyllite (Kofu Metamorphic)</t>
        </is>
      </c>
      <c r="C10" s="11" t="inlineStr">
        <is>
          <t>中生代 前期白亜紀 アルビアン期〜新生代 古第三紀 暁新世 セランディアン期 泥質千枚岩 高P/T型広域変成岩　緑泥石帯</t>
        </is>
      </c>
      <c r="D10" s="11" t="inlineStr">
        <is>
          <t>中生代 前期白亜紀 アルビアン期〜新生代 古第三紀 暁新世 セランディアン期（Mesozoic Early Cretaceous Albian - Cenozoic Paleogene Paleocene Selandian）に形成された泥質千枚岩 高P/T型広域変成岩　緑泥石帯（pelitic phyllite chlorite zone of high P/T regional metamorphic rocks）。産総研シームレス地質図V2凡例記号: K122-Pg12_mpype_hc</t>
        </is>
      </c>
    </row>
    <row r="11">
      <c r="A11" s="11" t="inlineStr">
        <is>
          <t>m200k_NI-54-31_u010</t>
        </is>
      </c>
      <c r="B11" s="11" t="inlineStr">
        <is>
          <t>Selandian Marble (Kofu Metamorphic)</t>
        </is>
      </c>
      <c r="C11" s="11" t="inlineStr">
        <is>
          <t>中生代 後期白亜紀〜新生代 古第三紀 暁新世 セランディアン期 大理石 低P/T型広域変成岩　黒雲母帯</t>
        </is>
      </c>
      <c r="D11" s="11" t="inlineStr">
        <is>
          <t>中生代 後期白亜紀〜新生代 古第三紀 暁新世 セランディアン期（Mesozoic Late Cretaceous - Cenozoic Paleogene Paleocene Selandian）に形成された大理石 低P/T型広域変成岩　黒雲母帯（marble biotite zone of low P/T regional metamorphic rocks）。産総研シームレス地質図V2凡例記号: K2-Pg12_mrls_lb</t>
        </is>
      </c>
    </row>
    <row r="12">
      <c r="A12" s="11" t="inlineStr">
        <is>
          <t>m200k_NI-54-31_u011</t>
        </is>
      </c>
      <c r="B12" s="11" t="inlineStr">
        <is>
          <t>Selandian Schist (Kofu Metamorphic)</t>
        </is>
      </c>
      <c r="C12" s="11" t="inlineStr">
        <is>
          <t>中生代 前期白亜紀 アルビアン期〜新生代 古第三紀 暁新世 セランディアン期 泥質片岩 高P/T型広域変成岩　ざくろ石帯</t>
        </is>
      </c>
      <c r="D12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13">
      <c r="A13" s="11" t="inlineStr">
        <is>
          <t>m200k_NI-54-31_u012</t>
        </is>
      </c>
      <c r="B13" s="11" t="inlineStr">
        <is>
          <t>Maastrichtian Tonalite (Kofu Metamorphic)</t>
        </is>
      </c>
      <c r="C13" s="11" t="inlineStr">
        <is>
          <t>中生代 後期白亜紀 カンパニアン期〜マーストリヒチアン期 花崗閃緑岩・トーナル岩 片麻状 島弧・大陸</t>
        </is>
      </c>
      <c r="D13" s="11" t="inlineStr">
        <is>
          <t>中生代 後期白亜紀 カンパニアン期〜マーストリヒチアン期（Mesozoic Late Cretaceous Campanian - Maastrichtian）に形成された花崗閃緑岩・トーナル岩 片麻状 島弧・大陸（gneissose granodiolite &amp; tonalite island arc &amp; continental）。産総研シームレス地質図V2凡例記号: K22_pin_a</t>
        </is>
      </c>
    </row>
    <row r="14">
      <c r="A14" s="11" t="inlineStr">
        <is>
          <t>m200k_NI-54-31_u013</t>
        </is>
      </c>
      <c r="B14" s="11" t="inlineStr">
        <is>
          <t>Selandian Metamorphic (Kofu Metamorphic)</t>
        </is>
      </c>
      <c r="C14" s="11" t="inlineStr">
        <is>
          <t>中生代 前期白亜紀 アルビアン期〜新生代 古第三紀 暁新世 セランディアン期 変成チャート 高P/T型広域変成岩　緑泥石帯</t>
        </is>
      </c>
      <c r="D14" s="11" t="inlineStr">
        <is>
          <t>中生代 前期白亜紀 アルビアン期〜新生代 古第三紀 暁新世 セランディアン期（Mesozoic Early Cretaceous Albian - Cenozoic Paleogene Paleocene Selandian）に形成された変成チャート 高P/T型広域変成岩　緑泥石帯（metachert chlorite zone of high P/T regional metamorphic rocks）。産総研シームレス地質図V2凡例記号: K122-Pg12_mrch_hc</t>
        </is>
      </c>
    </row>
    <row r="15">
      <c r="A15" s="11" t="inlineStr">
        <is>
          <t>m200k_NI-54-31_u014</t>
        </is>
      </c>
      <c r="B15" s="11" t="inlineStr">
        <is>
          <t>Selandian Metabasalt (Kofu Metamorphic)</t>
        </is>
      </c>
      <c r="C15" s="11" t="inlineStr">
        <is>
          <t>中生代 後期白亜紀〜新生代 古第三紀 暁新世 セランディアン期 変成玄武岩 低P/T型広域変成岩　黒雲母帯</t>
        </is>
      </c>
      <c r="D15" s="11" t="inlineStr">
        <is>
          <t>中生代 後期白亜紀〜新生代 古第三紀 暁新世 セランディアン期（Mesozoic Late Cretaceous - Cenozoic Paleogene Paleocene Selandian）に形成された変成玄武岩 低P/T型広域変成岩　黒雲母帯（metabasalt biotite zone of low P/T regional metamorphic rocks）。産総研シームレス地質図V2凡例記号: K2-Pg12_mrbs_lb</t>
        </is>
      </c>
    </row>
    <row r="16">
      <c r="A16" s="11" t="inlineStr">
        <is>
          <t>m200k_NI-54-31_u015</t>
        </is>
      </c>
      <c r="B16" s="11" t="inlineStr">
        <is>
          <t>Selandian Granodiorite (Kofu Metamorphic)</t>
        </is>
      </c>
      <c r="C16" s="11" t="inlineStr">
        <is>
          <t>中生代 後期白亜紀〜新生代 古第三紀 暁新世 セランディアン期 花崗閃緑岩マイロナイト・トーナル岩マイロナイト 変位変成岩 緑片岩相</t>
        </is>
      </c>
      <c r="D16" s="11" t="inlineStr">
        <is>
          <t>中生代 後期白亜紀〜新生代 古第三紀 暁新世 セランディアン期（Mesozoic Late Cretaceous - Cenozoic Paleogene Paleocene Selandian）に形成された花崗閃緑岩マイロナイト・トーナル岩マイロナイト 変位変成岩 緑片岩相（granodiorite mylonite &amp; tonalite mylonite greenschist facies rock of dislocation metamorphic rocks）。産総研シームレス地質図V2凡例記号: K2-Pg12_mmygd_dgs</t>
        </is>
      </c>
    </row>
    <row r="17">
      <c r="A17" s="11" t="inlineStr">
        <is>
          <t>m200k_NI-54-31_u016</t>
        </is>
      </c>
      <c r="B17" s="11" t="inlineStr">
        <is>
          <t>Selandian Gneiss (Kofu Metamorphic)</t>
        </is>
      </c>
      <c r="C17" s="11" t="inlineStr">
        <is>
          <t>中生代 後期白亜紀〜新生代 古第三紀 暁新世 セランディアン期 泥質片麻岩・泥質ミグマタイト 低P/T型広域変成岩　ざくろ石菫青石帯</t>
        </is>
      </c>
      <c r="D17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ざくろ石菫青石帯（pelitic gneiss &amp; migmatite garnet-cordierite zone of low P/T regional metamorphic rocks）。産総研シームレス地質図V2凡例記号: K2-Pg12_mgmpe_lgc</t>
        </is>
      </c>
    </row>
    <row r="18">
      <c r="A18" s="11" t="inlineStr">
        <is>
          <t>m200k_NI-54-31_u017</t>
        </is>
      </c>
      <c r="B18" s="11" t="inlineStr">
        <is>
          <t>Selandian Marble (Kofu Metamorphic)</t>
        </is>
      </c>
      <c r="C18" s="11" t="inlineStr">
        <is>
          <t>中生代 前期白亜紀 アルビアン期〜新生代 古第三紀 暁新世 セランディアン期 大理石 高P/T型広域変成岩　緑泥石帯</t>
        </is>
      </c>
      <c r="D18" s="11" t="inlineStr">
        <is>
          <t>中生代 前期白亜紀 アルビアン期〜新生代 古第三紀 暁新世 セランディアン期（Mesozoic Early Cretaceous Albian - Cenozoic Paleogene Paleocene Selandian）に形成された大理石 高P/T型広域変成岩　緑泥石帯（marble chlorite zone of high P/T regional metamorphic rocks）。産総研シームレス地質図V2凡例記号: K122-Pg12_mrls_hc</t>
        </is>
      </c>
    </row>
    <row r="19">
      <c r="A19" s="11" t="inlineStr">
        <is>
          <t>m200k_NI-54-31_u018</t>
        </is>
      </c>
      <c r="B19" s="11" t="inlineStr">
        <is>
          <t>Santonian Tonalite (Kofu Metamorphic)</t>
        </is>
      </c>
      <c r="C19" s="11" t="inlineStr">
        <is>
          <t>中生代 後期白亜紀 セノマニアン期〜サントニアン期 花崗閃緑岩・トーナル岩 片麻状 島弧・大陸</t>
        </is>
      </c>
      <c r="D19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20">
      <c r="A20" s="11" t="inlineStr">
        <is>
          <t>m200k_NI-54-31_u019</t>
        </is>
      </c>
      <c r="B20" s="11" t="inlineStr">
        <is>
          <t>Pliocene Mafic (Kofu Metamorphic)</t>
        </is>
      </c>
      <c r="C20" s="11" t="inlineStr">
        <is>
          <t>新生代 新第三紀 中新世 メッシニアン期〜鮮新世 苦鉄質片岩 低P/T型広域変成岩　緑色片岩相</t>
        </is>
      </c>
      <c r="D20" s="11" t="inlineStr">
        <is>
          <t>新生代 新第三紀 中新世 メッシニアン期〜鮮新世（Cenozoic Neogene Miocene Messinian - Pliocene）に形成された苦鉄質片岩 低P/T型広域変成岩　緑色片岩相（mafic schist greenschist facies rock of low P/T regional metamorphic rocks）。産総研シームレス地質図V2凡例記号: N3_mscma_lgs</t>
        </is>
      </c>
    </row>
    <row r="21">
      <c r="A21" s="11" t="inlineStr">
        <is>
          <t>m200k_NI-54-31_u020</t>
        </is>
      </c>
      <c r="B21" s="11" t="inlineStr">
        <is>
          <t>Pliocene Schist (Kofu Metamorphic)</t>
        </is>
      </c>
      <c r="C21" s="11" t="inlineStr">
        <is>
          <t>新生代 新第三紀 中新世 メッシニアン期〜鮮新世 珪長質片岩 低P/T型広域変成岩　緑色片岩相</t>
        </is>
      </c>
      <c r="D21" s="11" t="inlineStr">
        <is>
          <t>新生代 新第三紀 中新世 メッシニアン期〜鮮新世（Cenozoic Neogene Miocene Messinian - Pliocene）に形成された珪長質片岩 低P/T型広域変成岩　緑色片岩相（felsic schist greenschist facies rock of low P/T regional metamorphic rocks）。産総研シームレス地質図V2凡例記号: N3_mscfe_lgs</t>
        </is>
      </c>
    </row>
    <row r="22">
      <c r="A22" s="11" t="inlineStr">
        <is>
          <t>m200k_NI-54-31_u021</t>
        </is>
      </c>
      <c r="B22" s="11" t="inlineStr">
        <is>
          <t>Holocene Sedimentary (Kofu Quaternary)</t>
        </is>
      </c>
      <c r="C22" s="11" t="inlineStr">
        <is>
          <t>新生代 第四紀 完新世 谷底平野・山間盆地・河川・海岸平野堆積物</t>
        </is>
      </c>
      <c r="D2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3">
      <c r="A23" s="11" t="inlineStr">
        <is>
          <t>m200k_NI-54-31_u022</t>
        </is>
      </c>
      <c r="B23" s="11" t="inlineStr">
        <is>
          <t>Pleistocene Gravel (Kofu Quaternary)</t>
        </is>
      </c>
      <c r="C23" s="11" t="inlineStr">
        <is>
          <t>新生代 第四紀 後期更新世中期〜後期更新世後期 段丘堆積物</t>
        </is>
      </c>
      <c r="D23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4">
      <c r="A24" s="11" t="inlineStr">
        <is>
          <t>m200k_NI-54-31_u023</t>
        </is>
      </c>
      <c r="B24" s="11" t="inlineStr">
        <is>
          <t>Holocene Volcanic (Kofu Quaternary)</t>
        </is>
      </c>
      <c r="C24" s="11" t="inlineStr">
        <is>
          <t>新生代 第四紀 更新世 ジェラシアン期〜完新世 火山岩 火山麓扇状地堆積物</t>
        </is>
      </c>
      <c r="D24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25">
      <c r="A25" s="11" t="inlineStr">
        <is>
          <t>m200k_NI-54-31_u024</t>
        </is>
      </c>
      <c r="B25" s="11" t="inlineStr">
        <is>
          <t>Holocene Volcanic (Kofu Quaternary)</t>
        </is>
      </c>
      <c r="C25" s="11" t="inlineStr">
        <is>
          <t>新生代 第四紀 完新世 火山岩 岩屑なだれ堆積物</t>
        </is>
      </c>
      <c r="D25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26">
      <c r="A26" s="11" t="inlineStr">
        <is>
          <t>m200k_NI-54-31_u025</t>
        </is>
      </c>
      <c r="B26" s="11" t="inlineStr">
        <is>
          <t>Pleistocene Gravel (Kofu Quaternary)</t>
        </is>
      </c>
      <c r="C26" s="11" t="inlineStr">
        <is>
          <t>新生代 第四紀 後期更新世前期 段丘堆積物</t>
        </is>
      </c>
      <c r="D2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7">
      <c r="A27" s="11" t="inlineStr">
        <is>
          <t>m200k_NI-54-31_u026</t>
        </is>
      </c>
      <c r="B27" s="11" t="inlineStr">
        <is>
          <t>Holocene Sedimentary (Kofu Quaternary)</t>
        </is>
      </c>
      <c r="C27" s="11" t="inlineStr">
        <is>
          <t>新生代 第四紀 後期更新世後期〜完新世 扇状地・崖錐堆積物</t>
        </is>
      </c>
      <c r="D27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8">
      <c r="A28" s="11" t="inlineStr">
        <is>
          <t>m200k_NI-54-31_u027</t>
        </is>
      </c>
      <c r="B28" s="11" t="inlineStr">
        <is>
          <t>Pleistocene Volcanic (Kofu Quaternary)</t>
        </is>
      </c>
      <c r="C28" s="11" t="inlineStr">
        <is>
          <t>新生代 第四紀 チバニアン期 火山岩 岩屑なだれ堆積物</t>
        </is>
      </c>
      <c r="D28" s="11" t="inlineStr">
        <is>
          <t>新生代 第四紀 チバニアン期（Cenozoic Quaternary Middle Pleistocene）に形成された火山岩 岩屑なだれ堆積物（volcanic rocks debris avalanche deposits）。産総研シームレス地質図V2凡例記号: Q2_v_ad</t>
        </is>
      </c>
    </row>
    <row r="29">
      <c r="A29" s="11" t="inlineStr">
        <is>
          <t>m200k_NI-54-31_u028</t>
        </is>
      </c>
      <c r="B29" s="11" t="inlineStr">
        <is>
          <t>Pleistocene Gravel (Kofu Quaternary)</t>
        </is>
      </c>
      <c r="C29" s="11" t="inlineStr">
        <is>
          <t>新生代 第四紀 後期チバニアン期 段丘堆積物</t>
        </is>
      </c>
      <c r="D29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30">
      <c r="A30" s="11" t="inlineStr">
        <is>
          <t>m200k_NI-54-31_u029</t>
        </is>
      </c>
      <c r="B30" s="11" t="inlineStr">
        <is>
          <t>Holocene Sedimentary (Kofu Quaternary)</t>
        </is>
      </c>
      <c r="C30" s="11" t="inlineStr">
        <is>
          <t>新生代 第四紀 後期チバニアン期〜完新世 地すべり堆積物</t>
        </is>
      </c>
      <c r="D30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31">
      <c r="A31" s="11" t="inlineStr">
        <is>
          <t>m200k_NI-54-31_u030</t>
        </is>
      </c>
      <c r="B31" s="11" t="inlineStr">
        <is>
          <t>Holocene Sedimentary (Kofu Quaternary)</t>
        </is>
      </c>
      <c r="C31" s="11" t="inlineStr">
        <is>
          <t>新生代 第四紀 完新世 湿原・湿地堆積物</t>
        </is>
      </c>
      <c r="D31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32">
      <c r="A32" s="11" t="inlineStr">
        <is>
          <t>m200k_NI-54-31_u031</t>
        </is>
      </c>
      <c r="B32" s="11" t="inlineStr">
        <is>
          <t>Holocene Volcanic (Kofu Quaternary)</t>
        </is>
      </c>
      <c r="C32" s="11" t="inlineStr">
        <is>
          <t>新生代 第四紀 更新世 カラブリアン期〜完新世 風成火山灰</t>
        </is>
      </c>
      <c r="D32" s="11" t="inlineStr">
        <is>
          <t>新生代 第四紀 更新世 カラブリアン期〜完新世（Cenozoic Quaternary Pleistocene Calabrian - Holocene）に形成された風成火山灰（aeolian volcanic ash soil）。産総研シームレス地質図V2凡例記号: Q12-H_se</t>
        </is>
      </c>
    </row>
    <row r="33">
      <c r="A33" s="11" t="inlineStr">
        <is>
          <t>m200k_NI-54-31_u032</t>
        </is>
      </c>
      <c r="B33" s="11" t="inlineStr">
        <is>
          <t>Pleistocene Volcanic (Kofu Quaternary)</t>
        </is>
      </c>
      <c r="C33" s="11" t="inlineStr">
        <is>
          <t>新生代 第四紀 後期更新世 火山岩 岩屑なだれ堆積物</t>
        </is>
      </c>
      <c r="D33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34">
      <c r="A34" s="11" t="inlineStr">
        <is>
          <t>m200k_NI-54-31_u033</t>
        </is>
      </c>
      <c r="B34" s="11" t="inlineStr">
        <is>
          <t>Pleistocene Sedimentary (Kofu Quaternary)</t>
        </is>
      </c>
      <c r="C34" s="11" t="inlineStr">
        <is>
          <t>新生代 第四紀 更新世 ジェラシアン期〜前期チバニアン期 汽水成層ないし海成・非海成混合層</t>
        </is>
      </c>
      <c r="D34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35">
      <c r="A35" s="11" t="inlineStr">
        <is>
          <t>m200k_NI-54-31_u034</t>
        </is>
      </c>
      <c r="B35" s="11" t="inlineStr">
        <is>
          <t>Calabrian Andesite (Kofu Quaternary)</t>
        </is>
      </c>
      <c r="C35" s="11" t="inlineStr">
        <is>
          <t>新生代 第四紀 更新世 カラブリアン期 安山岩・玄武岩質安山岩 溶岩・火砕岩</t>
        </is>
      </c>
      <c r="D35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36">
      <c r="A36" s="11" t="inlineStr">
        <is>
          <t>m200k_NI-54-31_u035</t>
        </is>
      </c>
      <c r="B36" s="11" t="inlineStr">
        <is>
          <t>Pleistocene Andesite (Kofu Quaternary)</t>
        </is>
      </c>
      <c r="C36" s="11" t="inlineStr">
        <is>
          <t>新生代 第四紀 チバニアン期 安山岩・玄武岩質安山岩 溶岩・火砕岩</t>
        </is>
      </c>
      <c r="D36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37">
      <c r="A37" s="11" t="inlineStr">
        <is>
          <t>m200k_NI-54-31_u036</t>
        </is>
      </c>
      <c r="B37" s="11" t="inlineStr">
        <is>
          <t>Pleistocene Andesite (Kofu Quaternary)</t>
        </is>
      </c>
      <c r="C37" s="11" t="inlineStr">
        <is>
          <t>新生代 第四紀 後期更新世 安山岩・玄武岩質安山岩 溶岩・火砕岩</t>
        </is>
      </c>
      <c r="D37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38">
      <c r="A38" s="11" t="inlineStr">
        <is>
          <t>m200k_NI-54-31_u037</t>
        </is>
      </c>
      <c r="B38" s="11" t="inlineStr">
        <is>
          <t>Gelasian Andesite (Kofu Quaternary)</t>
        </is>
      </c>
      <c r="C38" s="11" t="inlineStr">
        <is>
          <t>新生代 第四紀 更新世 ジェラシアン期 安山岩・玄武岩質安山岩 溶岩・火砕岩</t>
        </is>
      </c>
      <c r="D38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39">
      <c r="A39" s="11" t="inlineStr">
        <is>
          <t>m200k_NI-54-31_u038</t>
        </is>
      </c>
      <c r="B39" s="11" t="inlineStr">
        <is>
          <t>Pleistocene Dacite (Kofu Quaternary)</t>
        </is>
      </c>
      <c r="C39" s="11" t="inlineStr">
        <is>
          <t>新生代 第四紀 チバニアン期 デイサイト・流紋岩 溶岩・火砕岩</t>
        </is>
      </c>
      <c r="D39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40">
      <c r="A40" s="11" t="inlineStr">
        <is>
          <t>m200k_NI-54-31_u039</t>
        </is>
      </c>
      <c r="B40" s="11" t="inlineStr">
        <is>
          <t>Holocene Basalt (Kofu Quaternary)</t>
        </is>
      </c>
      <c r="C40" s="11" t="inlineStr">
        <is>
          <t>新生代 第四紀 完新世 玄武岩 溶岩・火砕岩</t>
        </is>
      </c>
      <c r="D40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41">
      <c r="A41" s="11" t="inlineStr">
        <is>
          <t>m200k_NI-54-31_u040</t>
        </is>
      </c>
      <c r="B41" s="11" t="inlineStr">
        <is>
          <t>Pleistocene Basalt (Kofu Quaternary)</t>
        </is>
      </c>
      <c r="C41" s="11" t="inlineStr">
        <is>
          <t>新生代 第四紀 後期更新世 玄武岩 溶岩・火砕岩</t>
        </is>
      </c>
      <c r="D41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42">
      <c r="A42" s="11" t="inlineStr">
        <is>
          <t>m200k_NI-54-31_u041</t>
        </is>
      </c>
      <c r="B42" s="11" t="inlineStr">
        <is>
          <t>Tortonian Dacite (Kofu Neogene-Paleogene)</t>
        </is>
      </c>
      <c r="C42" s="11" t="inlineStr">
        <is>
          <t>新生代 新第三紀 中新世 後期ランギアン期〜トートニアン期 デイサイト・流紋岩 溶岩・火砕岩</t>
        </is>
      </c>
      <c r="D42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43">
      <c r="A43" s="11" t="inlineStr">
        <is>
          <t>m200k_NI-54-31_u042</t>
        </is>
      </c>
      <c r="B43" s="11" t="inlineStr">
        <is>
          <t>Tortonian Dacite (Kofu Neogene-Paleogene)</t>
        </is>
      </c>
      <c r="C43" s="11" t="inlineStr">
        <is>
          <t>新生代 新第三紀 中新世 後期ランギアン期〜トートニアン期 デイサイト・流紋岩 貫入岩</t>
        </is>
      </c>
      <c r="D43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44">
      <c r="A44" s="11" t="inlineStr">
        <is>
          <t>m200k_NI-54-31_u043</t>
        </is>
      </c>
      <c r="B44" s="11" t="inlineStr">
        <is>
          <t>Pliocene Andesite (Kofu Neogene-Paleogene)</t>
        </is>
      </c>
      <c r="C44" s="11" t="inlineStr">
        <is>
          <t>新生代 新第三紀 中新世 メッシニアン期〜鮮新世 安山岩・玄武岩質安山岩 溶岩・火砕岩</t>
        </is>
      </c>
      <c r="D44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45">
      <c r="A45" s="11" t="inlineStr">
        <is>
          <t>m200k_NI-54-31_u044</t>
        </is>
      </c>
      <c r="B45" s="11" t="inlineStr">
        <is>
          <t>Tortonian Andesite (Kofu Neogene-Paleogene)</t>
        </is>
      </c>
      <c r="C45" s="11" t="inlineStr">
        <is>
          <t>新生代 新第三紀 中新世 後期ランギアン期〜トートニアン期 安山岩・玄武岩質安山岩 溶岩・火砕岩</t>
        </is>
      </c>
      <c r="D45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46">
      <c r="A46" s="11" t="inlineStr">
        <is>
          <t>m200k_NI-54-31_u045</t>
        </is>
      </c>
      <c r="B46" s="11" t="inlineStr">
        <is>
          <t>Tortonian Andesite (Kofu Neogene-Paleogene)</t>
        </is>
      </c>
      <c r="C46" s="11" t="inlineStr">
        <is>
          <t>新生代 新第三紀 中新世 後期ランギアン期〜トートニアン期 安山岩・玄武岩質安山岩 貫入岩</t>
        </is>
      </c>
      <c r="D46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47">
      <c r="A47" s="11" t="inlineStr">
        <is>
          <t>m200k_NI-54-31_u046</t>
        </is>
      </c>
      <c r="B47" s="11" t="inlineStr">
        <is>
          <t>Tortonian Tonalite (Kofu Neogene)</t>
        </is>
      </c>
      <c r="C47" s="11" t="inlineStr">
        <is>
          <t>新生代 新第三紀 中新世 後期サーラバリアン期〜トートニアン期 花崗閃緑岩・トーナル岩 塊状 島弧・大陸</t>
        </is>
      </c>
      <c r="D47" s="11" t="inlineStr">
        <is>
          <t>新生代 新第三紀 中新世 後期サーラバリアン期〜トートニアン期（Cenozoic Neogene Miocene late Serravallian - Tortonian）に形成された花崗閃緑岩・トーナル岩 塊状 島弧・大陸（mssive granodiolite &amp; tonalite island arc &amp; continental）。産総研シームレス地質図V2凡例記号: N22_pim_a</t>
        </is>
      </c>
    </row>
    <row r="48">
      <c r="A48" s="11" t="inlineStr">
        <is>
          <t>m200k_NI-54-31_u047</t>
        </is>
      </c>
      <c r="B48" s="11" t="inlineStr">
        <is>
          <t>Langhian Sandstone (Kofu Neogene)</t>
        </is>
      </c>
      <c r="C48" s="11" t="inlineStr">
        <is>
          <t>新生代 新第三紀 中新世 バーディガリアン期〜前期ランギアン期 海成層 砂岩泥岩互層</t>
        </is>
      </c>
      <c r="D48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49">
      <c r="A49" s="11" t="inlineStr">
        <is>
          <t>m200k_NI-54-31_u048</t>
        </is>
      </c>
      <c r="B49" s="11" t="inlineStr">
        <is>
          <t>Langhian Conglomerate (Kofu Neogene)</t>
        </is>
      </c>
      <c r="C49" s="11" t="inlineStr">
        <is>
          <t>新生代 新第三紀 中新世 バーディガリアン期〜前期ランギアン期 海成層 礫岩</t>
        </is>
      </c>
      <c r="D49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50">
      <c r="A50" s="11" t="inlineStr">
        <is>
          <t>m200k_NI-54-31_u049</t>
        </is>
      </c>
      <c r="B50" s="11" t="inlineStr">
        <is>
          <t>Langhian Conglomerate (Kofu Neogene)</t>
        </is>
      </c>
      <c r="C50" s="11" t="inlineStr">
        <is>
          <t>新生代 新第三紀 中新世 バーディガリアン期〜前期ランギアン期 汽水成層ないし海成・非海成混合層 礫岩</t>
        </is>
      </c>
      <c r="D50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51">
      <c r="A51" s="11" t="inlineStr">
        <is>
          <t>m200k_NI-54-31_u050</t>
        </is>
      </c>
      <c r="B51" s="11" t="inlineStr">
        <is>
          <t>Pliocene Tonalite (Kofu Neogene)</t>
        </is>
      </c>
      <c r="C51" s="11" t="inlineStr">
        <is>
          <t>新生代 新第三紀 中新世 メッシニアン期〜鮮新世 花崗閃緑岩・トーナル岩 塊状 島弧・大陸</t>
        </is>
      </c>
      <c r="D51" s="11" t="inlineStr">
        <is>
          <t>新生代 新第三紀 中新世 メッシニアン期〜鮮新世（Cenozoic Neogene Miocene Messinian - Pliocene）に形成された花崗閃緑岩・トーナル岩 塊状 島弧・大陸（mssive granodiolite &amp; tonalite island arc &amp; continental）。産総研シームレス地質図V2凡例記号: N3_pim_a</t>
        </is>
      </c>
    </row>
    <row r="52">
      <c r="A52" s="11" t="inlineStr">
        <is>
          <t>m200k_NI-54-31_u051</t>
        </is>
      </c>
      <c r="B52" s="11" t="inlineStr">
        <is>
          <t>Serravallian Tonalite (Kofu Neogene)</t>
        </is>
      </c>
      <c r="C52" s="11" t="inlineStr">
        <is>
          <t>新生代 新第三紀 中新世 後期ランギアン期〜前期サーラバリアン期 花崗閃緑岩・トーナル岩 塊状 島弧・大陸</t>
        </is>
      </c>
      <c r="D52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53">
      <c r="A53" s="11" t="inlineStr">
        <is>
          <t>m200k_NI-54-31_u052</t>
        </is>
      </c>
      <c r="B53" s="11" t="inlineStr">
        <is>
          <t>Tortonian Sandstone (Kofu Neogene)</t>
        </is>
      </c>
      <c r="C53" s="11" t="inlineStr">
        <is>
          <t>新生代 新第三紀 中新世 後期ランギアン期〜トートニアン期 海成層 砂岩泥岩互層</t>
        </is>
      </c>
      <c r="D53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54">
      <c r="A54" s="11" t="inlineStr">
        <is>
          <t>m200k_NI-54-31_u053</t>
        </is>
      </c>
      <c r="B54" s="11" t="inlineStr">
        <is>
          <t>Pliocene Conglomerate (Kofu Neogene)</t>
        </is>
      </c>
      <c r="C54" s="11" t="inlineStr">
        <is>
          <t>新生代 新第三紀 中新世 メッシニアン期〜鮮新世 海成層 礫岩</t>
        </is>
      </c>
      <c r="D54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55">
      <c r="A55" s="11" t="inlineStr">
        <is>
          <t>m200k_NI-54-31_u054</t>
        </is>
      </c>
      <c r="B55" s="11" t="inlineStr">
        <is>
          <t>Tortonian Conglomerate (Kofu Neogene)</t>
        </is>
      </c>
      <c r="C55" s="11" t="inlineStr">
        <is>
          <t>新生代 新第三紀 中新世 後期ランギアン期〜トートニアン期 海成層 礫岩</t>
        </is>
      </c>
      <c r="D55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56">
      <c r="A56" s="11" t="inlineStr">
        <is>
          <t>m200k_NI-54-31_u055</t>
        </is>
      </c>
      <c r="B56" s="11" t="inlineStr">
        <is>
          <t>Tortonian Mudstone (Kofu Neogene)</t>
        </is>
      </c>
      <c r="C56" s="11" t="inlineStr">
        <is>
          <t>新生代 新第三紀 中新世 後期ランギアン期〜トートニアン期 海成層 泥岩</t>
        </is>
      </c>
      <c r="D56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57">
      <c r="A57" s="11" t="inlineStr">
        <is>
          <t>m200k_NI-54-31_u056</t>
        </is>
      </c>
      <c r="B57" s="11" t="inlineStr">
        <is>
          <t>Turonian Sandstone (Kofu Accretionary)</t>
        </is>
      </c>
      <c r="C57" s="11" t="inlineStr">
        <is>
          <t>中生代 前期白亜紀 アプチアン期〜後期白亜紀 チューロニアン期 海成層 砂岩 前期白亜紀後期-後期白亜紀前期付加体</t>
        </is>
      </c>
      <c r="D57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58">
      <c r="A58" s="11" t="inlineStr">
        <is>
          <t>m200k_NI-54-31_u057</t>
        </is>
      </c>
      <c r="B58" s="11" t="inlineStr">
        <is>
          <t>Barremian Sedimentary (Kofu Accretionary)</t>
        </is>
      </c>
      <c r="C58" s="11" t="inlineStr">
        <is>
          <t>中生代 中期ジュラ紀 カロビアン期〜前期白亜紀 バレミアン期 混在岩 後期ジュラ紀-前期白亜紀付加体</t>
        </is>
      </c>
      <c r="D58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59">
      <c r="A59" s="11" t="inlineStr">
        <is>
          <t>m200k_NI-54-31_u058</t>
        </is>
      </c>
      <c r="B59" s="11" t="inlineStr">
        <is>
          <t>Oxfordian Sandstone (Kofu Accretionary)</t>
        </is>
      </c>
      <c r="C59" s="11" t="inlineStr">
        <is>
          <t>中生代 中期ジュラ紀〜後期ジュラ紀 オックスフォーディアン期 海成層 砂岩泥岩互層 中期-後期ジュラ紀付加体</t>
        </is>
      </c>
      <c r="D59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60">
      <c r="A60" s="11" t="inlineStr">
        <is>
          <t>m200k_NI-54-31_u059</t>
        </is>
      </c>
      <c r="B60" s="11" t="inlineStr">
        <is>
          <t>Bajocian Chert (Kofu Accretionary)</t>
        </is>
      </c>
      <c r="C60" s="11" t="inlineStr">
        <is>
          <t>古生代 石炭紀 ペンシルバニアン亜紀 後期ミシシッピアン亜紀〜中生代 中期ジュラ紀 バジョシアン期 チャート 中期-後期ジュラ紀付加体</t>
        </is>
      </c>
      <c r="D60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61">
      <c r="A61" s="11" t="inlineStr">
        <is>
          <t>m200k_NI-54-31_u060</t>
        </is>
      </c>
      <c r="B61" s="11" t="inlineStr">
        <is>
          <t>Bajocian Sedimentary (Kofu Accretionary)</t>
        </is>
      </c>
      <c r="C61" s="11" t="inlineStr">
        <is>
          <t>中生代 前期ジュラ紀〜中期ジュラ紀 バジョシアン期 混在岩 前期-中期ジュラ紀付加体</t>
        </is>
      </c>
      <c r="D61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62">
      <c r="A62" s="11" t="inlineStr">
        <is>
          <t>m200k_NI-54-31_u061</t>
        </is>
      </c>
      <c r="B62" s="11" t="inlineStr">
        <is>
          <t>Jurassic Chert (Kofu Accretionary)</t>
        </is>
      </c>
      <c r="C62" s="11" t="inlineStr">
        <is>
          <t>古生代 石炭紀 ペンシルバニアン亜紀 後期ミシシッピアン亜紀〜中生代 前期ジュラ紀 チャート 前期-中期ジュラ紀付加体</t>
        </is>
      </c>
      <c r="D62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63">
      <c r="A63" s="11" t="inlineStr">
        <is>
          <t>m200k_NI-54-31_u062</t>
        </is>
      </c>
      <c r="B63" s="11" t="inlineStr">
        <is>
          <t>Triassic Limestone (Kofu Accretionary)</t>
        </is>
      </c>
      <c r="C63" s="11" t="inlineStr">
        <is>
          <t>古生代 石炭紀 ペンシルバニアン亜紀 後期ミシシッピアン亜紀〜中生代 三畳紀 海成層 石灰岩 前期-中期ジュラ紀付加体</t>
        </is>
      </c>
      <c r="D63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64">
      <c r="A64" s="11" t="inlineStr">
        <is>
          <t>m200k_NI-54-31_u063</t>
        </is>
      </c>
      <c r="B64" s="11" t="inlineStr">
        <is>
          <t>Maastrichtian Sandstone (Kofu Accretionary)</t>
        </is>
      </c>
      <c r="C64" s="11" t="inlineStr">
        <is>
          <t>中生代 後期白亜紀 チューロニアン期〜マーストリヒチアン期 海成層 砂岩 後期白亜紀付加体</t>
        </is>
      </c>
      <c r="D64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65">
      <c r="A65" s="11" t="inlineStr">
        <is>
          <t>m200k_NI-54-31_u064</t>
        </is>
      </c>
      <c r="B65" s="11" t="inlineStr">
        <is>
          <t>Turonian Basalt (Kofu Accretionary)</t>
        </is>
      </c>
      <c r="C65" s="11" t="inlineStr">
        <is>
          <t>中生代 後期ジュラ紀 チトニアン期〜後期白亜紀 チューロニアン期 玄武岩 海洋 後期白亜紀付加体</t>
        </is>
      </c>
      <c r="D65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66">
      <c r="A66" s="11" t="inlineStr">
        <is>
          <t>m200k_NI-54-31_u065</t>
        </is>
      </c>
      <c r="B66" s="11" t="inlineStr">
        <is>
          <t>Maastrichtian Sedimentary (Kofu Accretionary)</t>
        </is>
      </c>
      <c r="C66" s="11" t="inlineStr">
        <is>
          <t>中生代 後期白亜紀 チューロニアン期〜マーストリヒチアン期 混在岩 後期白亜紀付加体</t>
        </is>
      </c>
      <c r="D66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67">
      <c r="A67" s="11" t="inlineStr">
        <is>
          <t>m200k_NI-54-31_u066</t>
        </is>
      </c>
      <c r="B67" s="11" t="inlineStr">
        <is>
          <t>Maastrichtian Sandstone (Kofu Accretionary)</t>
        </is>
      </c>
      <c r="C67" s="11" t="inlineStr">
        <is>
          <t>中生代 後期白亜紀 チューロニアン期〜マーストリヒチアン期 砂岩泥岩互層 後期白亜紀付加体</t>
        </is>
      </c>
      <c r="D67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68">
      <c r="A68" s="11" t="inlineStr">
        <is>
          <t>m200k_NI-54-31_u067</t>
        </is>
      </c>
      <c r="B68" s="11" t="inlineStr">
        <is>
          <t>Oxfordian Chert (Kofu Accretionary)</t>
        </is>
      </c>
      <c r="C68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68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69">
      <c r="A69" s="11" t="inlineStr">
        <is>
          <t>m200k_NI-54-31_u068</t>
        </is>
      </c>
      <c r="B69" s="11" t="inlineStr">
        <is>
          <t>Maastrichtian Sandstone (Kofu Accretionary)</t>
        </is>
      </c>
      <c r="C69" s="11" t="inlineStr">
        <is>
          <t>中生代 後期白亜紀 チューロニアン期〜マーストリヒチアン期 泥岩砂岩互層 後期白亜紀付加体</t>
        </is>
      </c>
      <c r="D69" s="11" t="inlineStr">
        <is>
          <t>中生代 後期白亜紀 チューロニアン期〜マーストリヒチアン期（Mesozoic Late Cretaceous Turonian - Maastrichtian）に形成された泥岩砂岩互層 後期白亜紀付加体（mandstone-predominant alternation of   sandstone &amp; mudstone Late Cretaceous accretionary complex）。産総研シームレス地質図V2凡例記号: K212-22_somam_K2</t>
        </is>
      </c>
    </row>
    <row r="70">
      <c r="A70" s="11" t="inlineStr">
        <is>
          <t>m200k_NI-54-31_u069</t>
        </is>
      </c>
      <c r="B70" s="11" t="inlineStr">
        <is>
          <t>Oxfordian Sedimentary (Kofu Accretionary)</t>
        </is>
      </c>
      <c r="C70" s="11" t="inlineStr">
        <is>
          <t>中生代 中期ジュラ紀〜後期ジュラ紀 オックスフォーディアン期 混在岩 中期-後期ジュラ紀付加体</t>
        </is>
      </c>
      <c r="D70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71">
      <c r="A71" s="11" t="inlineStr">
        <is>
          <t>m200k_NI-54-31_u070</t>
        </is>
      </c>
      <c r="B71" s="11" t="inlineStr">
        <is>
          <t>Jurassic Limestone (Kofu Accretionary)</t>
        </is>
      </c>
      <c r="C71" s="11" t="inlineStr">
        <is>
          <t>古生代 ペルム紀 シスウラリアン世 サクマーリアン期〜中生代 ジュラ紀 海成層 石灰岩 後期ジュラ紀-前期白亜紀付加体</t>
        </is>
      </c>
      <c r="D71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72">
      <c r="A72" s="11" t="inlineStr">
        <is>
          <t>m200k_NI-54-31_u071</t>
        </is>
      </c>
      <c r="B72" s="11" t="inlineStr">
        <is>
          <t>Turonian Sandstone (Kofu Accretionary)</t>
        </is>
      </c>
      <c r="C72" s="11" t="inlineStr">
        <is>
          <t>中生代 前期白亜紀 アプチアン期〜後期白亜紀 チューロニアン期 砂岩泥岩互層 前期白亜紀後期-後期白亜紀前期付加体</t>
        </is>
      </c>
      <c r="D72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73">
      <c r="A73" s="11" t="inlineStr">
        <is>
          <t>m200k_NI-54-31_u072</t>
        </is>
      </c>
      <c r="B73" s="11" t="inlineStr">
        <is>
          <t>Turonian Limestone (Kofu Accretionary)</t>
        </is>
      </c>
      <c r="C73" s="11" t="inlineStr">
        <is>
          <t>中生代 後期ジュラ紀 チトニアン期〜後期白亜紀 チューロニアン期 海成層 石灰岩 後期白亜紀付加体</t>
        </is>
      </c>
      <c r="D73" s="11" t="inlineStr">
        <is>
          <t>中生代 後期ジュラ紀 チトニアン期〜後期白亜紀 チューロニアン期（Mesozoic Late Jurassic Tithonian - Late Cretaceous Turonian）に形成された海成層 石灰岩 後期白亜紀付加体（marine limestone Late Cretaceous accretionary complex）。産総研シームレス地質図V2凡例記号: J33-K212_sol_K2</t>
        </is>
      </c>
    </row>
    <row r="74">
      <c r="A74" s="11" t="inlineStr">
        <is>
          <t>m200k_NI-54-31_u073</t>
        </is>
      </c>
      <c r="B74" s="11" t="inlineStr">
        <is>
          <t>Oxfordian Sandstone (Kofu Accretionary)</t>
        </is>
      </c>
      <c r="C74" s="11" t="inlineStr">
        <is>
          <t>中生代 中期ジュラ紀〜後期ジュラ紀 オックスフォーディアン期 海成層 砂岩 中期-後期ジュラ紀付加体</t>
        </is>
      </c>
      <c r="D74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75">
      <c r="A75" s="11" t="inlineStr">
        <is>
          <t>m200k_NI-54-31_u074</t>
        </is>
      </c>
      <c r="B75" s="11" t="inlineStr">
        <is>
          <t>Turonian Chert (Kofu Accretionary)</t>
        </is>
      </c>
      <c r="C75" s="11" t="inlineStr">
        <is>
          <t>中生代 後期ジュラ紀 チトニアン期〜後期白亜紀 チューロニアン期 チャート 後期白亜紀付加体</t>
        </is>
      </c>
      <c r="D75" s="11" t="inlineStr">
        <is>
          <t>中生代 後期ジュラ紀 チトニアン期〜後期白亜紀 チューロニアン期（Mesozoic Late Jurassic Tithonian - Late Cretaceous Turonian）に形成されたチャート 後期白亜紀付加体（chert Late Cretaceous accretionary complex）。産総研シームレス地質図V2凡例記号: J33-K212_soh_K2</t>
        </is>
      </c>
    </row>
    <row r="76">
      <c r="A76" s="11" t="inlineStr">
        <is>
          <t>m200k_NI-54-31_u075</t>
        </is>
      </c>
      <c r="B76" s="11" t="inlineStr">
        <is>
          <t>Norian Basalt (Kofu Accretionary)</t>
        </is>
      </c>
      <c r="C76" s="11" t="inlineStr">
        <is>
          <t>古生代 石炭紀 ペンシルバニアン亜紀 後期ミシシッピアン亜紀〜中生代 後期三畳紀 ノーリアン期 玄武岩 海洋 中期-後期ジュラ紀付加体</t>
        </is>
      </c>
      <c r="D76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77">
      <c r="A77" s="11" t="inlineStr">
        <is>
          <t>m200k_NI-54-31_u076</t>
        </is>
      </c>
      <c r="B77" s="11" t="inlineStr">
        <is>
          <t>Serravallian Basalt (Kofu Accretionary)</t>
        </is>
      </c>
      <c r="C77" s="11" t="inlineStr">
        <is>
          <t>新生代 新第三紀 中新世 後期バーディガリアン期〜後期サーラバリアン期 玄武岩 海洋 前期中新世後期-中期中新世付加体</t>
        </is>
      </c>
      <c r="D77" s="11" t="inlineStr">
        <is>
          <t>新生代 新第三紀 中新世 後期バーディガリアン期〜後期サーラバリアン期（Cenozoic Neogene Miocene late Burdigalian - late Serravallian）に形成された玄武岩 海洋 前期中新世後期-中期中新世付加体（basalt oceanic late early to middle Miocene accretionary complex）。産総研シームレス地質図V2凡例記号: N12-221_vbs_o_N2</t>
        </is>
      </c>
    </row>
    <row r="78">
      <c r="A78" s="11" t="inlineStr">
        <is>
          <t>m200k_NI-54-31_u077</t>
        </is>
      </c>
      <c r="B78" s="11" t="inlineStr">
        <is>
          <t>Rupelian Mudstone (Kofu Accretionary)</t>
        </is>
      </c>
      <c r="C78" s="11" t="inlineStr">
        <is>
          <t>新生代 古第三紀 始新世 イプレシアン期〜漸新世 ルペリアン期 海成層 泥岩 始新世-前期漸新世付加体</t>
        </is>
      </c>
      <c r="D78" s="11" t="inlineStr">
        <is>
          <t>新生代 古第三紀 始新世 イプレシアン期〜漸新世 ルペリアン期（Cenozoic Paleogene Eocene Ypresian - Oligocene Rupelian）に形成された海成層 泥岩 始新世-前期漸新世付加体（marine mudstone Eocene to early Oligocene accretionary complex）。産総研シームレス地質図V2凡例記号: Pg14-3_som_Pg2</t>
        </is>
      </c>
    </row>
    <row r="79">
      <c r="A79" s="11" t="inlineStr">
        <is>
          <t>m200k_NI-54-31_u078</t>
        </is>
      </c>
      <c r="B79" s="11" t="inlineStr">
        <is>
          <t>Maastrichtian Mudstone (Kofu Accretionary)</t>
        </is>
      </c>
      <c r="C79" s="11" t="inlineStr">
        <is>
          <t>中生代 後期白亜紀 チューロニアン期〜マーストリヒチアン期 海成層 泥岩 後期白亜紀付加体</t>
        </is>
      </c>
      <c r="D79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80">
      <c r="A80" s="11" t="inlineStr">
        <is>
          <t>m200k_NI-54-31_u079</t>
        </is>
      </c>
      <c r="B80" s="11" t="inlineStr">
        <is>
          <t>Maastrichtian Conglomerate (Kofu Accretionary)</t>
        </is>
      </c>
      <c r="C80" s="11" t="inlineStr">
        <is>
          <t>中生代 後期白亜紀 チューロニアン期〜マーストリヒチアン期 海成層 礫岩 後期白亜紀付加体</t>
        </is>
      </c>
      <c r="D80" s="11" t="inlineStr">
        <is>
          <t>中生代 後期白亜紀 チューロニアン期〜マーストリヒチアン期（Mesozoic Late Cretaceous Turonian - Maastrichtian）に形成された海成層 礫岩 後期白亜紀付加体（marine conglomerate Late Cretaceous accretionary complex）。産総研シームレス地質図V2凡例記号: K212-22_soc_K2</t>
        </is>
      </c>
    </row>
    <row r="81">
      <c r="A81" s="11" t="inlineStr">
        <is>
          <t>m200k_NI-54-31_u080</t>
        </is>
      </c>
      <c r="B81" s="11" t="inlineStr">
        <is>
          <t>Rupelian Sandstone (Kofu Accretionary)</t>
        </is>
      </c>
      <c r="C81" s="11" t="inlineStr">
        <is>
          <t>新生代 古第三紀 始新世 イプレシアン期〜漸新世 ルペリアン期 海成層 砂岩 始新世-前期漸新世付加体</t>
        </is>
      </c>
      <c r="D81" s="11" t="inlineStr">
        <is>
          <t>新生代 古第三紀 始新世 イプレシアン期〜漸新世 ルペリアン期（Cenozoic Paleogene Eocene Ypresian - Oligocene Rupelian）に形成された海成層 砂岩 始新世-前期漸新世付加体（marine sandstone Eocene to early Oligocene accretionary complex）。産総研シームレス地質図V2凡例記号: Pg14-3_soss_Pg2</t>
        </is>
      </c>
    </row>
    <row r="82">
      <c r="A82" s="11" t="inlineStr">
        <is>
          <t>m200k_NI-54-31_u081</t>
        </is>
      </c>
      <c r="B82" s="11" t="inlineStr">
        <is>
          <t>Serravallian Mudstone (Kofu Accretionary)</t>
        </is>
      </c>
      <c r="C82" s="11" t="inlineStr">
        <is>
          <t>新生代 新第三紀 中新世 後期バーディガリアン期〜後期サーラバリアン期 海成層 泥岩 前期中新世後期-中期中新世付加体</t>
        </is>
      </c>
      <c r="D82" s="11" t="inlineStr">
        <is>
          <t>新生代 新第三紀 中新世 後期バーディガリアン期〜後期サーラバリアン期（Cenozoic Neogene Miocene late Burdigalian - late Serravallian）に形成された海成層 泥岩 前期中新世後期-中期中新世付加体（marine mudstone late early to middle Miocene accretionary complex）。産総研シームレス地質図V2凡例記号: N12-221_som_N2</t>
        </is>
      </c>
    </row>
    <row r="83">
      <c r="A83" s="11" t="inlineStr">
        <is>
          <t>m200k_NI-54-31_u082</t>
        </is>
      </c>
      <c r="B83" s="11" t="inlineStr">
        <is>
          <t>Langhian Sandstone (Kofu Accretionary)</t>
        </is>
      </c>
      <c r="C83" s="11" t="inlineStr">
        <is>
          <t>新生代 古第三紀 漸新世 チャッティアン期〜新第三紀 中新世 後期ランギアン期 海成層 砂岩 後期漸新世-中期中新世前期付加体</t>
        </is>
      </c>
      <c r="D83" s="11" t="inlineStr">
        <is>
          <t>新生代 古第三紀 漸新世 チャッティアン期〜新第三紀 中新世 後期ランギアン期（Cenozoic Paleogene Oligocene Chattian - Neogene Miocene late Langhian）に形成された海成層 砂岩 後期漸新世-中期中新世前期付加体（marine sandstone late Oligocene to middle Miocene accretionary complex）。産総研シームレス地質図V2凡例記号: Pg4-N211_soss_Pg4</t>
        </is>
      </c>
    </row>
    <row r="84">
      <c r="A84" s="11" t="inlineStr">
        <is>
          <t>m200k_NI-54-31_u083</t>
        </is>
      </c>
      <c r="B84" s="11" t="inlineStr">
        <is>
          <t>Langhian Sandstone (Kofu Accretionary)</t>
        </is>
      </c>
      <c r="C84" s="11" t="inlineStr">
        <is>
          <t>新生代 古第三紀 漸新世 チャッティアン期〜新第三紀 中新世 後期ランギアン期 泥岩砂岩互層 後期漸新世-中期中新世前期付加体</t>
        </is>
      </c>
      <c r="D84" s="11" t="inlineStr">
        <is>
          <t>新生代 古第三紀 漸新世 チャッティアン期〜新第三紀 中新世 後期ランギアン期（Cenozoic Paleogene Oligocene Chattian - Neogene Miocene late Langhian）に形成された泥岩砂岩互層 後期漸新世-中期中新世前期付加体（mandstone-predominant alternation of   sandstone &amp; mudstone late Oligocene to middle Miocene accretionary complex）。産総研シームレス地質図V2凡例記号: Pg4-N211_somam_Pg4</t>
        </is>
      </c>
    </row>
    <row r="85">
      <c r="A85" s="11" t="inlineStr">
        <is>
          <t>m200k_NI-54-31_u084</t>
        </is>
      </c>
      <c r="B85" s="11" t="inlineStr">
        <is>
          <t>Norian Limestone (Kofu Accretionary)</t>
        </is>
      </c>
      <c r="C85" s="11" t="inlineStr">
        <is>
          <t>古生代 石炭紀 ペンシルバニアン亜紀 後期ミシシッピアン亜紀〜中生代 後期三畳紀 ノーリアン期 海成層 石灰岩 中期-後期ジュラ紀付加体</t>
        </is>
      </c>
      <c r="D85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86">
      <c r="A86" s="11" t="inlineStr">
        <is>
          <t>m200k_NI-54-31_u085</t>
        </is>
      </c>
      <c r="B86" s="11" t="inlineStr">
        <is>
          <t>Rupelian Conglomerate (Kofu Accretionary)</t>
        </is>
      </c>
      <c r="C86" s="11" t="inlineStr">
        <is>
          <t>新生代 古第三紀 始新世 イプレシアン期〜漸新世 ルペリアン期 海成層 礫岩 始新世-前期漸新世付加体</t>
        </is>
      </c>
      <c r="D86" s="11" t="inlineStr">
        <is>
          <t>新生代 古第三紀 始新世 イプレシアン期〜漸新世 ルペリアン期（Cenozoic Paleogene Eocene Ypresian - Oligocene Rupelian）に形成された海成層 礫岩 始新世-前期漸新世付加体（marine conglomerate Eocene to early Oligocene accretionary complex）。産総研シームレス地質図V2凡例記号: Pg14-3_soc_Pg2</t>
        </is>
      </c>
    </row>
    <row r="87">
      <c r="A87" s="11" t="inlineStr">
        <is>
          <t>m200k_NI-54-31_u086</t>
        </is>
      </c>
      <c r="B87" s="11" t="inlineStr">
        <is>
          <t>Langhian Mudstone (Kofu Accretionary)</t>
        </is>
      </c>
      <c r="C87" s="11" t="inlineStr">
        <is>
          <t>新生代 古第三紀 漸新世 チャッティアン期〜新第三紀 中新世 後期ランギアン期 海成層 泥岩 後期漸新世-中期中新世前期付加体</t>
        </is>
      </c>
      <c r="D87" s="11" t="inlineStr">
        <is>
          <t>新生代 古第三紀 漸新世 チャッティアン期〜新第三紀 中新世 後期ランギアン期（Cenozoic Paleogene Oligocene Chattian - Neogene Miocene late Langhian）に形成された海成層 泥岩 後期漸新世-中期中新世前期付加体（marine mudstone late Oligocene to middle Miocene accretionary complex）。産総研シームレス地質図V2凡例記号: Pg4-N211_som_Pg4</t>
        </is>
      </c>
    </row>
    <row r="88">
      <c r="A88" s="11" t="inlineStr">
        <is>
          <t>m200k_NI-54-31_u087</t>
        </is>
      </c>
      <c r="B88" s="11" t="inlineStr">
        <is>
          <t>Chattian Basalt (Kofu Accretionary)</t>
        </is>
      </c>
      <c r="C88" s="11" t="inlineStr">
        <is>
          <t>新生代 古第三紀 暁新世 サネティアン期〜漸新世 チャッティアン期 玄武岩 海洋 後期漸新世-中期中新世前期付加体</t>
        </is>
      </c>
      <c r="D88" s="11" t="inlineStr">
        <is>
          <t>新生代 古第三紀 暁新世 サネティアン期〜漸新世 チャッティアン期（Cenozoic Paleogene Paleocene Thanetian - Oligocene Chattian）に形成された玄武岩 海洋 後期漸新世-中期中新世前期付加体（basalt oceanic late Oligocene to middle Miocene accretionary complex）。産総研シームレス地質図V2凡例記号: Pg13-41_vbs_o_Pg4</t>
        </is>
      </c>
    </row>
    <row r="89">
      <c r="A89" s="11" t="inlineStr">
        <is>
          <t>m200k_NI-54-31_u088</t>
        </is>
      </c>
      <c r="B89" s="11" t="inlineStr">
        <is>
          <t>Serravallian Dacite (Kofu Accretionary)</t>
        </is>
      </c>
      <c r="C89" s="11" t="inlineStr">
        <is>
          <t>新生代 新第三紀 中新世 後期バーディガリアン期〜後期サーラバリアン期 デイサイト・流紋岩 海洋 前期中新世後期-中期中新世付加体</t>
        </is>
      </c>
      <c r="D89" s="11" t="inlineStr">
        <is>
          <t>新生代 新第三紀 中新世 後期バーディガリアン期〜後期サーラバリアン期（Cenozoic Neogene Miocene late Burdigalian - late Serravallian）に形成されたデイサイト・流紋岩 海洋 前期中新世後期-中期中新世付加体（dacite &amp; rhyolite oceanic late early to middle Miocene accretionary complex）。産総研シームレス地質図V2凡例記号: N12-221_vas_ol_N2</t>
        </is>
      </c>
    </row>
    <row r="90">
      <c r="A90" s="11" t="inlineStr">
        <is>
          <t>m200k_NI-54-31_u089</t>
        </is>
      </c>
      <c r="B90" s="11" t="inlineStr">
        <is>
          <t>Norian Basalt (Kofu Accretionary)</t>
        </is>
      </c>
      <c r="C90" s="11" t="inlineStr">
        <is>
          <t>古生代 ペルム紀 シスウラリアン世 サクマーリアン期〜中生代 後期三畳紀 ノーリアン期 玄武岩 海洋 後期ジュラ紀-前期白亜紀付加体</t>
        </is>
      </c>
      <c r="D90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91">
      <c r="A91" s="11" t="inlineStr">
        <is>
          <t>m200k_NI-54-31_u090</t>
        </is>
      </c>
      <c r="B91" s="11" t="inlineStr">
        <is>
          <t>Serravallian Andesite (Kofu Accretionary)</t>
        </is>
      </c>
      <c r="C91" s="11" t="inlineStr">
        <is>
          <t>新生代 新第三紀 中新世 前期ランギアン期〜後期サーラバリアン期 安山岩・玄武岩質安山岩・粗面安山岩 溶岩・火砕岩 前期中新世後期-中期中新世付加体</t>
        </is>
      </c>
      <c r="D91" s="11" t="inlineStr">
        <is>
          <t>新生代 新第三紀 中新世 前期ランギアン期〜後期サーラバリアン期（Cenozoic Neogene Miocene early Langhian - late Serravallian）に形成された安山岩・玄武岩質安山岩・粗面安山岩 溶岩・火砕岩 前期中新世後期-中期中新世付加体（andesite,  basaltic andesite &amp; trachyandesite lava &amp; pyroclastic rocks late early to middle Miocene accretionary complex）。産総研シームレス地質図V2凡例記号: N122-221_vi_al_N2</t>
        </is>
      </c>
    </row>
    <row r="92">
      <c r="A92" s="11" t="inlineStr">
        <is>
          <t>m200k_NI-54-31_u091</t>
        </is>
      </c>
      <c r="B92" s="11" t="inlineStr">
        <is>
          <t>Serravallian Sandstone (Kofu Accretionary)</t>
        </is>
      </c>
      <c r="C92" s="11" t="inlineStr">
        <is>
          <t>新生代 新第三紀 中新世 後期バーディガリアン期〜後期サーラバリアン期 砂岩・泥岩・礫岩 前期中新世後期-中期中新世付加体</t>
        </is>
      </c>
      <c r="D92" s="11" t="inlineStr">
        <is>
          <t>新生代 新第三紀 中新世 後期バーディガリアン期〜後期サーラバリアン期（Cenozoic Neogene Miocene late Burdigalian - late Serravallian）に形成された砂岩・泥岩・礫岩 前期中新世後期-中期中新世付加体（sandstone, mudstone &amp; conglomerate late early to middle Miocene accretionary complex）。産総研シームレス地質図V2凡例記号: N12-221_sama_N2</t>
        </is>
      </c>
    </row>
    <row r="93">
      <c r="A93" s="11" t="inlineStr">
        <is>
          <t>m200k_NI-54-31_u092</t>
        </is>
      </c>
      <c r="B93" s="11" t="inlineStr">
        <is>
          <t>Cisuralian Basalt (Kofu Accretionary)</t>
        </is>
      </c>
      <c r="C93" s="11" t="inlineStr">
        <is>
          <t>古生代 石炭紀 ペンシルバニアン亜紀 後期ミシシッピアン亜紀〜ペルム紀 シスウラリアン世 玄武岩 海洋 前期-中期ジュラ紀付加体</t>
        </is>
      </c>
      <c r="D93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94">
      <c r="A94" s="11" t="inlineStr">
        <is>
          <t>m200k_NI-54-31_u093</t>
        </is>
      </c>
      <c r="B94" s="11" t="inlineStr">
        <is>
          <t>Aptian Chert (Kofu Accretionary)</t>
        </is>
      </c>
      <c r="C94" s="11" t="inlineStr">
        <is>
          <t>中生代 後期ジュラ紀 チトニアン期〜前期白亜紀 アプチアン期 チャート 前期白亜紀後期-後期白亜紀前期付加体</t>
        </is>
      </c>
      <c r="D94" s="11" t="inlineStr">
        <is>
          <t>中生代 後期ジュラ紀 チトニアン期〜前期白亜紀 アプチアン期（Mesozoic Late Jurassic Tithonian - Early Cretaceous Aptian）に形成されたチャート 前期白亜紀後期-後期白亜紀前期付加体（chert late Early to early Late Cretaceous accretionary complex）。産総研シームレス地質図V2凡例記号: J33-K121_soh_K1</t>
        </is>
      </c>
    </row>
    <row r="95">
      <c r="A95" s="11" t="inlineStr">
        <is>
          <t>m200k_NI-54-31_u094</t>
        </is>
      </c>
      <c r="B95" s="11" t="inlineStr">
        <is>
          <t>Bartonian Gabbro (Kofu Accretionary)</t>
        </is>
      </c>
      <c r="C95" s="11" t="inlineStr">
        <is>
          <t>新生代 古第三紀 暁新世 サネティアン期〜始新世 バートニアン期 斑れい岩・閃緑岩・石英閃緑岩 海洋 後期漸新世-中期中新世前期付加体</t>
        </is>
      </c>
      <c r="D95" s="11" t="inlineStr">
        <is>
          <t>新生代 古第三紀 暁新世 サネティアン期〜始新世 バートニアン期（Cenozoic Paleogene Paleocene Thanetian - Eocene Bartonian）に形成された斑れい岩・閃緑岩・石英閃緑岩 海洋 後期漸新世-中期中新世前期付加体（Gabbro, diorite &amp; quartz diorite oceanic late Oligocene to middle Miocene accretionary complex）。産総研シームレス地質図V2凡例記号: Pg13-22_pb_o_Pg4</t>
        </is>
      </c>
    </row>
    <row r="96">
      <c r="A96" s="11" t="inlineStr">
        <is>
          <t>m200k_NI-54-31_u095</t>
        </is>
      </c>
      <c r="B96" s="11" t="inlineStr">
        <is>
          <t>Serravallian Sandstone (Kofu Accretionary)</t>
        </is>
      </c>
      <c r="C96" s="11" t="inlineStr">
        <is>
          <t>新生代 新第三紀 中新世 後期バーディガリアン期〜後期サーラバリアン期 海成層 砂岩泥岩互層 前期中新世後期-中期中新世付加体</t>
        </is>
      </c>
      <c r="D96" s="11" t="inlineStr">
        <is>
          <t>新生代 新第三紀 中新世 後期バーディガリアン期〜後期サーラバリアン期（Cenozoic Neogene Miocene late Burdigalian - late Serravallian）に形成された海成層 砂岩泥岩互層 前期中新世後期-中期中新世付加体（marine alternation of sandstone &amp; mudstone late early to middle Miocene accretionary complex）。産総研シームレス地質図V2凡例記号: N12-221_sosma_N2</t>
        </is>
      </c>
    </row>
    <row r="97">
      <c r="A97" s="11" t="inlineStr">
        <is>
          <t>m200k_NI-54-31_u096</t>
        </is>
      </c>
      <c r="B97" s="11" t="inlineStr">
        <is>
          <t>Bartonian Sedimentary (Kofu Accretionary)</t>
        </is>
      </c>
      <c r="C97" s="11" t="inlineStr">
        <is>
          <t>新生代 古第三紀 暁新世 サネティアン期〜始新世 バートニアン期 超苦鉄質岩類 海洋 後期漸新世-中期中新世前期付加体</t>
        </is>
      </c>
      <c r="D97" s="11" t="inlineStr">
        <is>
          <t>新生代 古第三紀 暁新世 サネティアン期〜始新世 バートニアン期（Cenozoic Paleogene Paleocene Thanetian - Eocene Bartonian）に形成された超苦鉄質岩類 海洋 後期漸新世-中期中新世前期付加体（ultramafic rocks oceanic late Oligocene to middle Miocene accretionary complex）。産総研シームレス地質図V2凡例記号: Pg13-22_pu_o_Pg4</t>
        </is>
      </c>
    </row>
    <row r="98">
      <c r="A98" s="11" t="inlineStr">
        <is>
          <t>m200k_NI-54-31_u097</t>
        </is>
      </c>
      <c r="B98" s="11" t="inlineStr">
        <is>
          <t>Langhian Gabbro (Kofu Accretionary)</t>
        </is>
      </c>
      <c r="C98" s="11" t="inlineStr">
        <is>
          <t>新生代 新第三紀 中新世 後期バーディガリアン期〜後期ランギアン期 斑れい岩・閃緑岩・石英閃緑岩 島弧・大陸 前期中新世後期-中期中新世付加体</t>
        </is>
      </c>
      <c r="D98" s="11" t="inlineStr">
        <is>
          <t>新生代 新第三紀 中新世 後期バーディガリアン期〜後期ランギアン期（Cenozoic Neogene Miocene late Burdigalian - late Langhian）に形成された斑れい岩・閃緑岩・石英閃緑岩 島弧・大陸 前期中新世後期-中期中新世付加体（Gabbro, diorite &amp; quartz diorite island arc &amp; continental late early to middle Miocene accretionary complex）。産総研シームレス地質図V2凡例記号: N12-211_pb_a_N2</t>
        </is>
      </c>
    </row>
    <row r="99">
      <c r="A99" s="11" t="inlineStr">
        <is>
          <t>m200k_NI-54-31_u098</t>
        </is>
      </c>
      <c r="B99" s="11" t="inlineStr">
        <is>
          <t>Barremian Conglomerate (Kofu Mesozoic)</t>
        </is>
      </c>
      <c r="C99" s="11" t="inlineStr">
        <is>
          <t>中生代 前期白亜紀 ベリアシアン期〜バレミアン期 汽水成層ないし海成・非海成混合層 礫岩</t>
        </is>
      </c>
      <c r="D99" s="11" t="inlineStr">
        <is>
          <t>中生代 前期白亜紀 ベリアシアン期〜バレミアン期（Mesozoic Early Cretaceous Berriasian - Barremian）に形成された汽水成層ないし海成・非海成混合層 礫岩（brackish, or marine &amp; non-marine  mixture conglomerate）。産総研シームレス地質図V2凡例記号: K11_sbc</t>
        </is>
      </c>
    </row>
    <row r="100">
      <c r="A100" s="11" t="inlineStr">
        <is>
          <t>m200k_NI-54-31_u099</t>
        </is>
      </c>
      <c r="B100" s="11" t="inlineStr">
        <is>
          <t>Albian Sandstone (Kofu Mesozoic)</t>
        </is>
      </c>
      <c r="C100" s="11" t="inlineStr">
        <is>
          <t>中生代 前期白亜紀 アプチアン期〜アルビアン期 海成層 砂岩泥岩互層</t>
        </is>
      </c>
      <c r="D100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101">
      <c r="A101" s="11" t="inlineStr">
        <is>
          <t>m200k_NI-54-31_u100</t>
        </is>
      </c>
      <c r="B101" s="11" t="inlineStr">
        <is>
          <t>Albian Conglomerate (Kofu Mesozoic)</t>
        </is>
      </c>
      <c r="C101" s="11" t="inlineStr">
        <is>
          <t>中生代 前期白亜紀 アプチアン期〜アルビアン期 海成層 礫岩</t>
        </is>
      </c>
      <c r="D101" s="11" t="inlineStr">
        <is>
          <t>中生代 前期白亜紀 アプチアン期〜アルビアン期（Mesozoic Early Cretaceous Aptian - Albian）に形成された海成層 礫岩（marine conglomerate）。産総研シームレス地質図V2凡例記号: K12_soc</t>
        </is>
      </c>
    </row>
    <row r="102">
      <c r="A102" s="11" t="inlineStr">
        <is>
          <t>m200k_NI-54-31_u101</t>
        </is>
      </c>
      <c r="B102" s="11" t="inlineStr">
        <is>
          <t>Barremian Sandstone (Kofu Mesozoic)</t>
        </is>
      </c>
      <c r="C102" s="11" t="inlineStr">
        <is>
          <t>中生代 前期白亜紀 ベリアシアン期〜バレミアン期 海成層 砂岩泥岩互層</t>
        </is>
      </c>
      <c r="D102" s="11" t="inlineStr">
        <is>
          <t>中生代 前期白亜紀 ベリアシアン期〜バレミアン期（Mesozoic Early Cretaceous Berriasian - Barremian）に形成された海成層 砂岩泥岩互層（marine alternation of sandstone &amp; mudstone）。産総研シームレス地質図V2凡例記号: K11_sosma</t>
        </is>
      </c>
    </row>
    <row r="103">
      <c r="A103" s="11" t="inlineStr">
        <is>
          <t>m200k_NI-54-31_u102</t>
        </is>
      </c>
      <c r="B103" s="11" t="inlineStr">
        <is>
          <t>Maastrichtian Tonalite (Kofu Mesozoic)</t>
        </is>
      </c>
      <c r="C103" s="11" t="inlineStr">
        <is>
          <t>中生代 後期白亜紀 カンパニアン期〜マーストリヒチアン期 花崗閃緑岩・トーナル岩 塊状 島弧・大陸</t>
        </is>
      </c>
      <c r="D103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104">
      <c r="A104" s="11" t="inlineStr">
        <is>
          <t>m200k_NI-54-31_u103</t>
        </is>
      </c>
      <c r="B104" s="11" t="inlineStr">
        <is>
          <t>Tortonian Diorite (Kofu Plutonic)</t>
        </is>
      </c>
      <c r="C104" s="11" t="inlineStr">
        <is>
          <t>新生代 新第三紀 中新世 後期サーラバリアン期〜トートニアン期 閃緑岩・石英閃緑岩 島弧・大陸</t>
        </is>
      </c>
      <c r="D104" s="11" t="inlineStr">
        <is>
          <t>新生代 新第三紀 中新世 後期サーラバリアン期〜トートニアン期（Cenozoic Neogene Miocene late Serravallian - Tortonian）に形成された閃緑岩・石英閃緑岩 島弧・大陸（diorite &amp; quartz diorite island arc &amp; continental）。産総研シームレス地質図V2凡例記号: N22_pbd_a</t>
        </is>
      </c>
    </row>
    <row r="105">
      <c r="A105" s="11" t="inlineStr">
        <is>
          <t>m200k_NI-54-31_u104</t>
        </is>
      </c>
      <c r="B105" s="11" t="inlineStr">
        <is>
          <t>Maastrichtian Granite (Kofu Plutonic)</t>
        </is>
      </c>
      <c r="C105" s="11" t="inlineStr">
        <is>
          <t>中生代 後期白亜紀 カンパニアン期〜マーストリヒチアン期 花崗岩 塊状 島弧・大陸</t>
        </is>
      </c>
      <c r="D105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106">
      <c r="A106" s="11" t="inlineStr">
        <is>
          <t>m200k_NI-54-31_u105</t>
        </is>
      </c>
      <c r="B106" s="11" t="inlineStr">
        <is>
          <t>Serravallian Granite (Kofu Plutonic)</t>
        </is>
      </c>
      <c r="C106" s="11" t="inlineStr">
        <is>
          <t>新生代 新第三紀 中新世 後期ランギアン期〜前期サーラバリアン期 花崗岩 塊状 島弧・大陸</t>
        </is>
      </c>
      <c r="D106" s="11" t="inlineStr">
        <is>
          <t>新生代 新第三紀 中新世 後期ランギアン期〜前期サーラバリアン期（Cenozoic Neogene Miocene late Langhian - early Serravallian）に形成された花崗岩 塊状 島弧・大陸（massive granite island arc &amp; continental）。産総研シームレス地質図V2凡例記号: N21_pam_a</t>
        </is>
      </c>
    </row>
    <row r="107">
      <c r="A107" s="11" t="inlineStr">
        <is>
          <t>m200k_NI-54-31_u106</t>
        </is>
      </c>
      <c r="B107" s="11" t="inlineStr">
        <is>
          <t>Maastrichtian Diorite (Kofu Plutonic)</t>
        </is>
      </c>
      <c r="C107" s="11" t="inlineStr">
        <is>
          <t>中生代 後期白亜紀 カンパニアン期〜マーストリヒチアン期 閃緑岩・石英閃緑岩 島弧・大陸</t>
        </is>
      </c>
      <c r="D107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  <row r="108">
      <c r="A108" s="11" t="inlineStr">
        <is>
          <t>m200k_NI-54-31_u107</t>
        </is>
      </c>
      <c r="B108" s="11" t="inlineStr">
        <is>
          <t>Serravallian Gabbro (Kofu Plutonic)</t>
        </is>
      </c>
      <c r="C108" s="11" t="inlineStr">
        <is>
          <t>新生代 新第三紀 中新世 後期ランギアン期〜前期サーラバリアン期 斑れい岩 島弧・大陸</t>
        </is>
      </c>
      <c r="D108" s="11" t="inlineStr">
        <is>
          <t>新生代 新第三紀 中新世 後期ランギアン期〜前期サーラバリアン期（Cenozoic Neogene Miocene late Langhian - early Serravallian）に形成された斑れい岩 島弧・大陸（gabbro island arc &amp; continental）。産総研シームレス地質図V2凡例記号: N21_pbg_a</t>
        </is>
      </c>
    </row>
    <row r="109">
      <c r="A109" s="11" t="inlineStr">
        <is>
          <t>m200k_NI-54-31_u108</t>
        </is>
      </c>
      <c r="B109" s="11" t="inlineStr">
        <is>
          <t>Serravallian Diorite (Kofu Plutonic)</t>
        </is>
      </c>
      <c r="C109" s="11" t="inlineStr">
        <is>
          <t>新生代 新第三紀 中新世 後期ランギアン期〜前期サーラバリアン期 閃緑岩・石英閃緑岩 島弧・大陸</t>
        </is>
      </c>
      <c r="D109" s="11" t="inlineStr">
        <is>
          <t>新生代 新第三紀 中新世 後期ランギアン期〜前期サーラバリアン期（Cenozoic Neogene Miocene late Langhian - early Serravallian）に形成された閃緑岩・石英閃緑岩 島弧・大陸（diorite &amp; quartz diorite island arc &amp; continental）。産総研シームレス地質図V2凡例記号: N21_pbd_a</t>
        </is>
      </c>
    </row>
    <row r="110">
      <c r="A110" s="11" t="inlineStr">
        <is>
          <t>m200k_NI-54-31_u109</t>
        </is>
      </c>
      <c r="B110" s="11" t="inlineStr">
        <is>
          <t>Jurassic Diorite (Kofu Plutonic)</t>
        </is>
      </c>
      <c r="C110" s="11" t="inlineStr">
        <is>
          <t>中生代 前期ジュラ紀〜中期ジュラ紀 閃緑岩・石英閃緑岩 島弧・大陸</t>
        </is>
      </c>
      <c r="D110" s="11" t="inlineStr">
        <is>
          <t>中生代 前期ジュラ紀〜中期ジュラ紀（Mesozoic Jurassic Early - Middle）に形成された閃緑岩・石英閃緑岩 島弧・大陸（diorite &amp; quartz diorite island arc &amp; continental）。産総研シームレス地質図V2凡例記号: J1-2_pbd_a</t>
        </is>
      </c>
    </row>
    <row r="111">
      <c r="A111" s="11" t="inlineStr">
        <is>
          <t>m200k_NI-54-31_u110</t>
        </is>
      </c>
      <c r="B111" s="11" t="inlineStr">
        <is>
          <t>Pliocene Diorite (Kofu Plutonic)</t>
        </is>
      </c>
      <c r="C111" s="11" t="inlineStr">
        <is>
          <t>新生代 新第三紀 中新世 メッシニアン期〜鮮新世 閃緑岩・石英閃緑岩 島弧・大陸</t>
        </is>
      </c>
      <c r="D111" s="11" t="inlineStr">
        <is>
          <t>新生代 新第三紀 中新世 メッシニアン期〜鮮新世（Cenozoic Neogene Miocene Messinian - Pliocene）に形成された閃緑岩・石英閃緑岩 島弧・大陸（diorite &amp; quartz diorite island arc &amp; continental）。産総研シームレス地質図V2凡例記号: N3_pbd_a</t>
        </is>
      </c>
    </row>
    <row r="112">
      <c r="A112" s="11" t="inlineStr">
        <is>
          <t>m200k_NI-54-31_u111</t>
        </is>
      </c>
      <c r="B112" s="11" t="inlineStr">
        <is>
          <t>Tortonian Granite (Kofu Plutonic)</t>
        </is>
      </c>
      <c r="C112" s="11" t="inlineStr">
        <is>
          <t>新生代 新第三紀 中新世 後期サーラバリアン期〜トートニアン期 花崗岩 塊状 島弧・大陸</t>
        </is>
      </c>
      <c r="D112" s="11" t="inlineStr">
        <is>
          <t>新生代 新第三紀 中新世 後期サーラバリアン期〜トートニアン期（Cenozoic Neogene Miocene late Serravallian - Tortonian）に形成された花崗岩 塊状 島弧・大陸（massive granite island arc &amp; continental）。産総研シームレス地質図V2凡例記号: N22_pam_a</t>
        </is>
      </c>
    </row>
    <row r="113">
      <c r="A113" s="11" t="inlineStr">
        <is>
          <t>m200k_NI-54-31_u112</t>
        </is>
      </c>
      <c r="B113" s="11" t="inlineStr">
        <is>
          <t>Pliocene Gabbro (Kofu Plutonic)</t>
        </is>
      </c>
      <c r="C113" s="11" t="inlineStr">
        <is>
          <t>新生代 新第三紀 中新世 メッシニアン期〜鮮新世 斑れい岩 島弧・大陸</t>
        </is>
      </c>
      <c r="D113" s="11" t="inlineStr">
        <is>
          <t>新生代 新第三紀 中新世 メッシニアン期〜鮮新世（Cenozoic Neogene Miocene Messinian - Pliocene）に形成された斑れい岩 島弧・大陸（gabbro island arc &amp; continental）。産総研シームレス地質図V2凡例記号: N3_pbg_a</t>
        </is>
      </c>
    </row>
    <row r="114">
      <c r="A114" s="11" t="inlineStr">
        <is>
          <t>m200k_NI-54-31_u113</t>
        </is>
      </c>
      <c r="B114" s="11" t="inlineStr">
        <is>
          <t>Jurassic Gabbro (Kofu Plutonic)</t>
        </is>
      </c>
      <c r="C114" s="11" t="inlineStr">
        <is>
          <t>中生代 前期ジュラ紀〜中期ジュラ紀 斑れい岩 島弧・大陸</t>
        </is>
      </c>
      <c r="D114" s="11" t="inlineStr">
        <is>
          <t>中生代 前期ジュラ紀〜中期ジュラ紀（Mesozoic Jurassic Early - Middle）に形成された斑れい岩 島弧・大陸（gabbro island arc &amp; continental）。産総研シームレス地質図V2凡例記号: J1-2_pbg_a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2026-08-14T03:40:19Z</dcterms:created>
  <dcterms:modified xmlns:dcterms="http://purl.org/dc/terms/" xmlns:xsi="http://www.w3.org/2001/XMLSchema-instance" xsi:type="dcterms:W3CDTF">2026-08-14T03:40:19Z</dcterms:modified>
</cp:coreProperties>
</file>