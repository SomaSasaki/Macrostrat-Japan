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units_review" sheetId="2" state="visible" r:id="rId2"/>
    <sheet xmlns:r="http://schemas.openxmlformats.org/officeDocument/2006/relationships" name="columns_review" sheetId="3" state="visible" r:id="rId3"/>
    <sheet xmlns:r="http://schemas.openxmlformats.org/officeDocument/2006/relationships" name="refs_review" sheetId="4" state="visible" r:id="rId4"/>
    <sheet xmlns:r="http://schemas.openxmlformats.org/officeDocument/2006/relationships" name="images_review" sheetId="5" state="visible" r:id="rId5"/>
    <sheet xmlns:r="http://schemas.openxmlformats.org/officeDocument/2006/relationships" name="project_meta" sheetId="6" state="visible" r:id="rId6"/>
    <sheet xmlns:r="http://schemas.openxmlformats.org/officeDocument/2006/relationships" name="gsj_meta" sheetId="7" state="visible" r:id="rId7"/>
    <sheet xmlns:r="http://schemas.openxmlformats.org/officeDocument/2006/relationships" name="intervals" sheetId="8" state="visible" r:id="rId8"/>
    <sheet xmlns:r="http://schemas.openxmlformats.org/officeDocument/2006/relationships" name="descriptions" sheetId="9" state="visible" r:id="rId9"/>
  </sheets>
  <definedNames>
    <definedName name="_xlnm._FilterDatabase" localSheetId="1" hidden="1">'units_review'!$A$1:$AC$40</definedName>
    <definedName name="_xlnm._FilterDatabase" localSheetId="2" hidden="1">'columns_review'!$A$1:$K$9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b val="1"/>
    </font>
    <font>
      <name val="Meiryo UI"/>
      <b val="1"/>
      <sz val="10"/>
    </font>
    <font>
      <name val="Meiryo UI"/>
      <sz val="9"/>
    </font>
    <font>
      <name val="Meiryo U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DEEAF6"/>
      </patternFill>
    </fill>
    <fill>
      <patternFill patternType="solid">
        <fgColor rgb="00595959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0" borderId="2" applyAlignment="1" pivotButton="0" quotePrefix="0" xfId="0">
      <alignment vertical="center" wrapText="1"/>
    </xf>
    <xf numFmtId="0" fontId="3" fillId="0" borderId="2" applyAlignment="1" pivotButton="0" quotePrefix="0" xfId="0">
      <alignment vertical="center" wrapText="1"/>
    </xf>
    <xf numFmtId="0" fontId="4" fillId="2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3" fillId="3" borderId="2" applyAlignment="1" pivotButton="0" quotePrefix="0" xfId="0">
      <alignment vertical="center"/>
    </xf>
    <xf numFmtId="0" fontId="3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vertical="center"/>
    </xf>
    <xf numFmtId="0" fontId="3" fillId="4" borderId="2" applyAlignment="1" pivotButton="0" quotePrefix="0" xfId="0">
      <alignment horizontal="right" vertical="center"/>
    </xf>
    <xf numFmtId="164" fontId="3" fillId="5" borderId="2" applyAlignment="1" pivotButton="0" quotePrefix="0" xfId="0">
      <alignment horizontal="right" vertical="center"/>
    </xf>
    <xf numFmtId="0" fontId="3" fillId="7" borderId="2" applyAlignment="1" pivotButton="0" quotePrefix="0" xfId="0">
      <alignment vertical="center"/>
    </xf>
    <xf numFmtId="0" fontId="3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0" customWidth="1" min="2" max="2"/>
  </cols>
  <sheetData>
    <row r="1">
      <c r="A1" s="1" t="inlineStr">
        <is>
          <t>項目</t>
        </is>
      </c>
      <c r="B1" s="1" t="inlineStr">
        <is>
          <t>説明</t>
        </is>
      </c>
    </row>
    <row r="2">
      <c r="A2" s="2" t="inlineStr">
        <is>
          <t>0. このファイルの役割</t>
        </is>
      </c>
      <c r="B2" s="2" t="inlineStr">
        <is>
          <t>産総研20万分の1シームレス地質図V2から自動抽出した広域地質凡例インベントリおよび人手レビュー用スケルトンです。ここを編集して `python run.py export-200k &lt;コード/地名&gt;` を実行すると、Macrostrat公式形式(v0.1.1)の提出ファイルが作られます。</t>
        </is>
      </c>
    </row>
    <row r="3">
      <c r="A3" s="2" t="inlineStr">
        <is>
          <t>1. 色の意味（50k準拠）</t>
        </is>
      </c>
      <c r="B3" s="2" t="inlineStr">
        <is>
          <t>黄色=必ず確認・入力する必須列。 / 水色=年代(Ma)から自動計算される数式列。 / 緑=そのまま提出物に転記される列。 / グレー(REF_*)=自動取得の参照専用データ。</t>
        </is>
      </c>
    </row>
    <row r="4">
      <c r="A4" s="2" t="inlineStr">
        <is>
          <t>2. 地質帯Columnの構成</t>
        </is>
      </c>
      <c r="B4" s="2" t="inlineStr">
        <is>
          <t>同一図幅内の異なるテクトニック単元（付加体、変成帯、火山岩、堆積盆等）を独立したColumn（col_1, col_2...）に分離しています。columns_review で一覧を確認できます。</t>
        </is>
      </c>
    </row>
    <row r="5">
      <c r="A5" s="2" t="inlineStr">
        <is>
          <t>3. sort_order / position（層序順序）</t>
        </is>
      </c>
      <c r="B5" s="2" t="inlineStr">
        <is>
          <t>最下部（最古の地層）を 1 とし、上位（新しい地層）へ向かって番号が進みます（下から上への単調増加）。必要に応じて順序を書き換えてください。</t>
        </is>
      </c>
    </row>
    <row r="6">
      <c r="A6" s="2" t="inlineStr">
        <is>
          <t>4. t_prop / b_prop（自動計算）</t>
        </is>
      </c>
      <c r="B6" s="2" t="inlineStr">
        <is>
          <t>水色の t_prop・b_prop はPythonで直接初期計算済みかつ数式連動です。t_age_ma・b_age_ma を書き換えると、intervals シートの時代境界から自動で 0.000〜1.000 の比率が再計算されます。</t>
        </is>
      </c>
    </row>
    <row r="7">
      <c r="A7" s="2" t="inlineStr">
        <is>
          <t>5. 岩相（lithology / minor_lith）</t>
        </is>
      </c>
      <c r="B7" s="2" t="inlineStr">
        <is>
          <t>Macrostrat公式の214岩相オントロジーに自動正規化してあります。</t>
        </is>
      </c>
    </row>
    <row r="8">
      <c r="A8" s="2" t="inlineStr">
        <is>
          <t>6. 事前チェックと提出</t>
        </is>
      </c>
      <c r="B8" s="2" t="inlineStr">
        <is>
          <t>`python run.py check-200k &lt;地名&gt;` で年代逆転・prop範囲・語彙矛盾を厳格に検証し、`python run.py export-200k &lt;地名&gt;` でエクスポートします。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32" customWidth="1" min="4" max="4"/>
    <col width="28" customWidth="1" min="5" max="5"/>
    <col width="16" customWidth="1" min="6" max="6"/>
    <col width="12" customWidth="1" min="7" max="7"/>
    <col width="10" customWidth="1" min="8" max="8"/>
    <col width="16" customWidth="1" min="9" max="9"/>
    <col width="12" customWidth="1" min="10" max="10"/>
    <col width="10" customWidth="1" min="11" max="11"/>
    <col width="18" customWidth="1" min="12" max="12"/>
    <col width="16" customWidth="1" min="13" max="13"/>
    <col width="16" customWidth="1" min="14" max="14"/>
    <col width="40" customWidth="1" min="15" max="15"/>
    <col width="12" customWidth="1" min="16" max="16"/>
    <col width="12" customWidth="1" min="17" max="17"/>
    <col width="16" customWidth="1" min="18" max="18"/>
    <col width="18" customWidth="1" min="19" max="19"/>
    <col width="25" customWidth="1" min="20" max="20"/>
    <col width="10" customWidth="1" min="21" max="21"/>
    <col width="14" customWidth="1" min="22" max="22"/>
    <col width="20" customWidth="1" min="23" max="23"/>
    <col width="25" customWidth="1" min="24" max="24"/>
    <col width="22" customWidth="1" min="25" max="25"/>
    <col width="25" customWidth="1" min="26" max="26"/>
    <col width="18" customWidth="1" min="27" max="27"/>
    <col width="20" customWidth="1" min="28" max="28"/>
    <col width="24" customWidth="1" min="29" max="29"/>
  </cols>
  <sheetData>
    <row r="1">
      <c r="A1" s="3" t="inlineStr">
        <is>
          <t>unit_id</t>
        </is>
      </c>
      <c r="B1" s="3" t="inlineStr">
        <is>
          <t>col_id</t>
        </is>
      </c>
      <c r="C1" s="3" t="inlineStr">
        <is>
          <t>sort_order</t>
        </is>
      </c>
      <c r="D1" s="3" t="inlineStr">
        <is>
          <t>unit_name</t>
        </is>
      </c>
      <c r="E1" s="3" t="inlineStr">
        <is>
          <t>strat_name</t>
        </is>
      </c>
      <c r="F1" s="3" t="inlineStr">
        <is>
          <t>t_int</t>
        </is>
      </c>
      <c r="G1" s="3" t="inlineStr">
        <is>
          <t>t_age_ma</t>
        </is>
      </c>
      <c r="H1" s="3" t="inlineStr">
        <is>
          <t>t_prop</t>
        </is>
      </c>
      <c r="I1" s="3" t="inlineStr">
        <is>
          <t>b_int</t>
        </is>
      </c>
      <c r="J1" s="3" t="inlineStr">
        <is>
          <t>b_age_ma</t>
        </is>
      </c>
      <c r="K1" s="3" t="inlineStr">
        <is>
          <t>b_prop</t>
        </is>
      </c>
      <c r="L1" s="3" t="inlineStr">
        <is>
          <t>lithology</t>
        </is>
      </c>
      <c r="M1" s="3" t="inlineStr">
        <is>
          <t>minor_lith</t>
        </is>
      </c>
      <c r="N1" s="3" t="inlineStr">
        <is>
          <t>environment</t>
        </is>
      </c>
      <c r="O1" s="3" t="inlineStr">
        <is>
          <t>unit_description</t>
        </is>
      </c>
      <c r="P1" s="3" t="inlineStr">
        <is>
          <t>min_thickness</t>
        </is>
      </c>
      <c r="Q1" s="3" t="inlineStr">
        <is>
          <t>max_thickness</t>
        </is>
      </c>
      <c r="R1" s="3" t="inlineStr">
        <is>
          <t>basal_surface</t>
        </is>
      </c>
      <c r="S1" s="3" t="inlineStr">
        <is>
          <t>lateral_relationship</t>
        </is>
      </c>
      <c r="T1" s="3" t="inlineStr">
        <is>
          <t>comments</t>
        </is>
      </c>
      <c r="U1" s="3" t="inlineStr">
        <is>
          <t>t_pos</t>
        </is>
      </c>
      <c r="V1" s="4" t="inlineStr">
        <is>
          <t>REF_symbol</t>
        </is>
      </c>
      <c r="W1" s="4" t="inlineStr">
        <is>
          <t>REF_age_ja</t>
        </is>
      </c>
      <c r="X1" s="4" t="inlineStr">
        <is>
          <t>REF_age_en</t>
        </is>
      </c>
      <c r="Y1" s="4" t="inlineStr">
        <is>
          <t>REF_lith_ja</t>
        </is>
      </c>
      <c r="Z1" s="4" t="inlineStr">
        <is>
          <t>REF_lith_en</t>
        </is>
      </c>
      <c r="AA1" s="4" t="inlineStr">
        <is>
          <t>REF_group_ja</t>
        </is>
      </c>
      <c r="AB1" s="4" t="inlineStr">
        <is>
          <t>REF_group_en</t>
        </is>
      </c>
      <c r="AC1" s="4" t="inlineStr">
        <is>
          <t>REF_domain</t>
        </is>
      </c>
    </row>
    <row r="2">
      <c r="A2" s="5" t="inlineStr">
        <is>
          <t>m200k_NI-53-21_u003</t>
        </is>
      </c>
      <c r="B2" s="6" t="inlineStr">
        <is>
          <t>col_1</t>
        </is>
      </c>
      <c r="C2" s="6" t="n">
        <v>1</v>
      </c>
      <c r="D2" s="7" t="inlineStr">
        <is>
          <t>Pleistocene Sedimentary (Tokushima Quaternary)</t>
        </is>
      </c>
      <c r="E2" s="5" t="inlineStr">
        <is>
          <t>Tokushima Quaternary Basin &amp; Terrace Deposits</t>
        </is>
      </c>
      <c r="F2" s="6" t="inlineStr">
        <is>
          <t>Pleistocene</t>
        </is>
      </c>
      <c r="G2" s="8" t="n">
        <v>0.0117</v>
      </c>
      <c r="H2" s="9">
        <f>IF(OR($F2="",$G2=""),"",IFERROR((VLOOKUP($F2,intervals!$A:$C,2,FALSE)-$G2)/(VLOOKUP($F2,intervals!$A:$C,2,FALSE)-VLOOKUP($F2,intervals!$A:$C,3,FALSE)),""))</f>
        <v/>
      </c>
      <c r="I2" s="6" t="inlineStr">
        <is>
          <t>Gelasian</t>
        </is>
      </c>
      <c r="J2" s="8" t="n">
        <v>2.58</v>
      </c>
      <c r="K2" s="9">
        <f>IF(OR($I2="",$J2=""),"",IFERROR((VLOOKUP($I2,intervals!$A:$C,2,FALSE)-$J2)/(VLOOKUP($I2,intervals!$A:$C,2,FALSE)-VLOOKUP($I2,intervals!$A:$C,3,FALSE)),""))</f>
        <v/>
      </c>
      <c r="L2" s="7" t="inlineStr">
        <is>
          <t>sedimentary</t>
        </is>
      </c>
      <c r="M2" s="5" t="inlineStr"/>
      <c r="N2" s="5" t="inlineStr">
        <is>
          <t>marine</t>
        </is>
      </c>
      <c r="O2" s="5" t="inlineStr">
        <is>
          <t>Cenozoic Quaternary Pleistocene Gelasian - early Middle Pleistocene; non-marine sediments [Quaternary Basin &amp; Terrace Deposits]</t>
        </is>
      </c>
      <c r="P2" s="5" t="inlineStr"/>
      <c r="Q2" s="5" t="inlineStr"/>
      <c r="R2" s="5" t="inlineStr">
        <is>
          <t>unknown</t>
        </is>
      </c>
      <c r="S2" s="5" t="inlineStr"/>
      <c r="T2" s="5" t="inlineStr">
        <is>
          <t>GSJ 200k Seamless Q1-21_sn</t>
        </is>
      </c>
      <c r="U2" s="5" t="inlineStr"/>
      <c r="V2" s="10" t="inlineStr">
        <is>
          <t>Q1-21_sn</t>
        </is>
      </c>
      <c r="W2" s="10" t="inlineStr">
        <is>
          <t>新生代 第四紀 更新世 ジェラシアン期〜前期チバニアン期</t>
        </is>
      </c>
      <c r="X2" s="10" t="inlineStr">
        <is>
          <t>Cenozoic Quaternary Pleistocene Gelasian - early Middle Pleistocene</t>
        </is>
      </c>
      <c r="Y2" s="10" t="inlineStr">
        <is>
          <t>非海成層</t>
        </is>
      </c>
      <c r="Z2" s="10" t="inlineStr">
        <is>
          <t>non-marine sediments</t>
        </is>
      </c>
      <c r="AA2" s="10" t="inlineStr">
        <is>
          <t>堆積岩</t>
        </is>
      </c>
      <c r="AB2" s="10" t="inlineStr">
        <is>
          <t>Sedimentary rocks</t>
        </is>
      </c>
      <c r="AC2" s="10" t="inlineStr">
        <is>
          <t>Quaternary Basin &amp; Terrace Deposits</t>
        </is>
      </c>
    </row>
    <row r="3">
      <c r="A3" s="5" t="inlineStr">
        <is>
          <t>m200k_NI-53-21_u004</t>
        </is>
      </c>
      <c r="B3" s="6" t="inlineStr">
        <is>
          <t>col_1</t>
        </is>
      </c>
      <c r="C3" s="6" t="n">
        <v>2</v>
      </c>
      <c r="D3" s="7" t="inlineStr">
        <is>
          <t>Pleistocene Gravel (Tokushima Quaternary)</t>
        </is>
      </c>
      <c r="E3" s="5" t="inlineStr">
        <is>
          <t>Tokushima Quaternary Basin &amp; Terrace Deposits</t>
        </is>
      </c>
      <c r="F3" s="6" t="inlineStr">
        <is>
          <t>Pleistocene</t>
        </is>
      </c>
      <c r="G3" s="8" t="n">
        <v>0.0117</v>
      </c>
      <c r="H3" s="9">
        <f>IF(OR($F3="",$G3=""),"",IFERROR((VLOOKUP($F3,intervals!$A:$C,2,FALSE)-$G3)/(VLOOKUP($F3,intervals!$A:$C,2,FALSE)-VLOOKUP($F3,intervals!$A:$C,3,FALSE)),""))</f>
        <v/>
      </c>
      <c r="I3" s="6" t="inlineStr">
        <is>
          <t>Pleistocene</t>
        </is>
      </c>
      <c r="J3" s="8" t="n">
        <v>2.58</v>
      </c>
      <c r="K3" s="9">
        <f>IF(OR($I3="",$J3=""),"",IFERROR((VLOOKUP($I3,intervals!$A:$C,2,FALSE)-$J3)/(VLOOKUP($I3,intervals!$A:$C,2,FALSE)-VLOOKUP($I3,intervals!$A:$C,3,FALSE)),""))</f>
        <v/>
      </c>
      <c r="L3" s="7" t="inlineStr">
        <is>
          <t>gravel</t>
        </is>
      </c>
      <c r="M3" s="5" t="inlineStr"/>
      <c r="N3" s="5" t="inlineStr">
        <is>
          <t>unknown</t>
        </is>
      </c>
      <c r="O3" s="5" t="inlineStr">
        <is>
          <t>Cenozoic Quaternary early Late Pleistocene; terrace deposits [Quaternary Basin &amp; Terrace Deposits]</t>
        </is>
      </c>
      <c r="P3" s="5" t="inlineStr"/>
      <c r="Q3" s="5" t="inlineStr"/>
      <c r="R3" s="5" t="inlineStr">
        <is>
          <t>unknown</t>
        </is>
      </c>
      <c r="S3" s="5" t="inlineStr"/>
      <c r="T3" s="5" t="inlineStr">
        <is>
          <t>GSJ 200k Seamless Q31_std</t>
        </is>
      </c>
      <c r="U3" s="5" t="inlineStr"/>
      <c r="V3" s="10" t="inlineStr">
        <is>
          <t>Q31_std</t>
        </is>
      </c>
      <c r="W3" s="10" t="inlineStr">
        <is>
          <t>新生代 第四紀 後期更新世前期</t>
        </is>
      </c>
      <c r="X3" s="10" t="inlineStr">
        <is>
          <t>Cenozoic Quaternary early Late Pleistocene</t>
        </is>
      </c>
      <c r="Y3" s="10" t="inlineStr">
        <is>
          <t>段丘堆積物</t>
        </is>
      </c>
      <c r="Z3" s="10" t="inlineStr">
        <is>
          <t>terrace deposits</t>
        </is>
      </c>
      <c r="AA3" s="10" t="inlineStr">
        <is>
          <t>堆積岩</t>
        </is>
      </c>
      <c r="AB3" s="10" t="inlineStr">
        <is>
          <t>Sedimentary rocks</t>
        </is>
      </c>
      <c r="AC3" s="10" t="inlineStr">
        <is>
          <t>Quaternary Basin &amp; Terrace Deposits</t>
        </is>
      </c>
    </row>
    <row r="4">
      <c r="A4" s="5" t="inlineStr">
        <is>
          <t>m200k_NI-53-21_u005</t>
        </is>
      </c>
      <c r="B4" s="6" t="inlineStr">
        <is>
          <t>col_1</t>
        </is>
      </c>
      <c r="C4" s="6" t="n">
        <v>3</v>
      </c>
      <c r="D4" s="7" t="inlineStr">
        <is>
          <t>Pleistocene Gravel (Tokushima Quaternary)</t>
        </is>
      </c>
      <c r="E4" s="5" t="inlineStr">
        <is>
          <t>Tokushima Quaternary Basin &amp; Terrace Deposits</t>
        </is>
      </c>
      <c r="F4" s="6" t="inlineStr">
        <is>
          <t>Pleistocene</t>
        </is>
      </c>
      <c r="G4" s="8" t="n">
        <v>0.0117</v>
      </c>
      <c r="H4" s="9">
        <f>IF(OR($F4="",$G4=""),"",IFERROR((VLOOKUP($F4,intervals!$A:$C,2,FALSE)-$G4)/(VLOOKUP($F4,intervals!$A:$C,2,FALSE)-VLOOKUP($F4,intervals!$A:$C,3,FALSE)),""))</f>
        <v/>
      </c>
      <c r="I4" s="6" t="inlineStr">
        <is>
          <t>Pleistocene</t>
        </is>
      </c>
      <c r="J4" s="8" t="n">
        <v>2.58</v>
      </c>
      <c r="K4" s="9">
        <f>IF(OR($I4="",$J4=""),"",IFERROR((VLOOKUP($I4,intervals!$A:$C,2,FALSE)-$J4)/(VLOOKUP($I4,intervals!$A:$C,2,FALSE)-VLOOKUP($I4,intervals!$A:$C,3,FALSE)),""))</f>
        <v/>
      </c>
      <c r="L4" s="7" t="inlineStr">
        <is>
          <t>gravel</t>
        </is>
      </c>
      <c r="M4" s="5" t="inlineStr"/>
      <c r="N4" s="5" t="inlineStr">
        <is>
          <t>unknown</t>
        </is>
      </c>
      <c r="O4" s="5" t="inlineStr">
        <is>
          <t>Cenozoic Quaternary late Middle Pleistocene; terrace deposits [Quaternary Basin &amp; Terrace Deposits]</t>
        </is>
      </c>
      <c r="P4" s="5" t="inlineStr"/>
      <c r="Q4" s="5" t="inlineStr"/>
      <c r="R4" s="5" t="inlineStr">
        <is>
          <t>unknown</t>
        </is>
      </c>
      <c r="S4" s="5" t="inlineStr"/>
      <c r="T4" s="5" t="inlineStr">
        <is>
          <t>GSJ 200k Seamless Q22_std</t>
        </is>
      </c>
      <c r="U4" s="5" t="inlineStr"/>
      <c r="V4" s="10" t="inlineStr">
        <is>
          <t>Q22_std</t>
        </is>
      </c>
      <c r="W4" s="10" t="inlineStr">
        <is>
          <t>新生代 第四紀 後期チバニアン期</t>
        </is>
      </c>
      <c r="X4" s="10" t="inlineStr">
        <is>
          <t>Cenozoic Quaternary late Middle Pleistocene</t>
        </is>
      </c>
      <c r="Y4" s="10" t="inlineStr">
        <is>
          <t>段丘堆積物</t>
        </is>
      </c>
      <c r="Z4" s="10" t="inlineStr">
        <is>
          <t>terrace deposits</t>
        </is>
      </c>
      <c r="AA4" s="10" t="inlineStr">
        <is>
          <t>堆積岩</t>
        </is>
      </c>
      <c r="AB4" s="10" t="inlineStr">
        <is>
          <t>Sedimentary rocks</t>
        </is>
      </c>
      <c r="AC4" s="10" t="inlineStr">
        <is>
          <t>Quaternary Basin &amp; Terrace Deposits</t>
        </is>
      </c>
    </row>
    <row r="5">
      <c r="A5" s="5" t="inlineStr">
        <is>
          <t>m200k_NI-53-21_u006</t>
        </is>
      </c>
      <c r="B5" s="6" t="inlineStr">
        <is>
          <t>col_1</t>
        </is>
      </c>
      <c r="C5" s="6" t="n">
        <v>4</v>
      </c>
      <c r="D5" s="7" t="inlineStr">
        <is>
          <t>Pleistocene Gravel (Tokushima Quaternary)</t>
        </is>
      </c>
      <c r="E5" s="5" t="inlineStr">
        <is>
          <t>Tokushima Quaternary Basin &amp; Terrace Deposits</t>
        </is>
      </c>
      <c r="F5" s="6" t="inlineStr">
        <is>
          <t>Pleistocene</t>
        </is>
      </c>
      <c r="G5" s="8" t="n">
        <v>0.0117</v>
      </c>
      <c r="H5" s="9">
        <f>IF(OR($F5="",$G5=""),"",IFERROR((VLOOKUP($F5,intervals!$A:$C,2,FALSE)-$G5)/(VLOOKUP($F5,intervals!$A:$C,2,FALSE)-VLOOKUP($F5,intervals!$A:$C,3,FALSE)),""))</f>
        <v/>
      </c>
      <c r="I5" s="6" t="inlineStr">
        <is>
          <t>Pleistocene</t>
        </is>
      </c>
      <c r="J5" s="8" t="n">
        <v>2.58</v>
      </c>
      <c r="K5" s="9">
        <f>IF(OR($I5="",$J5=""),"",IFERROR((VLOOKUP($I5,intervals!$A:$C,2,FALSE)-$J5)/(VLOOKUP($I5,intervals!$A:$C,2,FALSE)-VLOOKUP($I5,intervals!$A:$C,3,FALSE)),""))</f>
        <v/>
      </c>
      <c r="L5" s="7" t="inlineStr">
        <is>
          <t>gravel</t>
        </is>
      </c>
      <c r="M5" s="5" t="inlineStr"/>
      <c r="N5" s="5" t="inlineStr">
        <is>
          <t>unknown</t>
        </is>
      </c>
      <c r="O5" s="5" t="inlineStr">
        <is>
          <t>Cenozoic Quaternary middle Late Pleistocene - late Late Pleistocene; terrace deposits [Quaternary Basin &amp; Terrace Deposits]</t>
        </is>
      </c>
      <c r="P5" s="5" t="inlineStr"/>
      <c r="Q5" s="5" t="inlineStr"/>
      <c r="R5" s="5" t="inlineStr">
        <is>
          <t>unknown</t>
        </is>
      </c>
      <c r="S5" s="5" t="inlineStr"/>
      <c r="T5" s="5" t="inlineStr">
        <is>
          <t>GSJ 200k Seamless Q32-33_std</t>
        </is>
      </c>
      <c r="U5" s="5" t="inlineStr"/>
      <c r="V5" s="10" t="inlineStr">
        <is>
          <t>Q32-33_std</t>
        </is>
      </c>
      <c r="W5" s="10" t="inlineStr">
        <is>
          <t>新生代 第四紀 後期更新世中期〜後期更新世後期</t>
        </is>
      </c>
      <c r="X5" s="10" t="inlineStr">
        <is>
          <t>Cenozoic Quaternary middle Late Pleistocene - late Late Pleistocene</t>
        </is>
      </c>
      <c r="Y5" s="10" t="inlineStr">
        <is>
          <t>段丘堆積物</t>
        </is>
      </c>
      <c r="Z5" s="10" t="inlineStr">
        <is>
          <t>terrace deposits</t>
        </is>
      </c>
      <c r="AA5" s="10" t="inlineStr">
        <is>
          <t>堆積岩</t>
        </is>
      </c>
      <c r="AB5" s="10" t="inlineStr">
        <is>
          <t>Sedimentary rocks</t>
        </is>
      </c>
      <c r="AC5" s="10" t="inlineStr">
        <is>
          <t>Quaternary Basin &amp; Terrace Deposits</t>
        </is>
      </c>
    </row>
    <row r="6">
      <c r="A6" s="5" t="inlineStr">
        <is>
          <t>m200k_NI-53-21_u007</t>
        </is>
      </c>
      <c r="B6" s="6" t="inlineStr">
        <is>
          <t>col_1</t>
        </is>
      </c>
      <c r="C6" s="6" t="n">
        <v>5</v>
      </c>
      <c r="D6" s="7" t="inlineStr">
        <is>
          <t>Holocene Sedimentary (Tokushima Quaternary)</t>
        </is>
      </c>
      <c r="E6" s="5" t="inlineStr">
        <is>
          <t>Tokushima Quaternary Basin &amp; Terrace Deposits</t>
        </is>
      </c>
      <c r="F6" s="6" t="inlineStr">
        <is>
          <t>Holocene</t>
        </is>
      </c>
      <c r="G6" s="8" t="n">
        <v>0</v>
      </c>
      <c r="H6" s="9">
        <f>IF(OR($F6="",$G6=""),"",IFERROR((VLOOKUP($F6,intervals!$A:$C,2,FALSE)-$G6)/(VLOOKUP($F6,intervals!$A:$C,2,FALSE)-VLOOKUP($F6,intervals!$A:$C,3,FALSE)),""))</f>
        <v/>
      </c>
      <c r="I6" s="6" t="inlineStr">
        <is>
          <t>Pleistocene</t>
        </is>
      </c>
      <c r="J6" s="8" t="n">
        <v>2.58</v>
      </c>
      <c r="K6" s="9">
        <f>IF(OR($I6="",$J6=""),"",IFERROR((VLOOKUP($I6,intervals!$A:$C,2,FALSE)-$J6)/(VLOOKUP($I6,intervals!$A:$C,2,FALSE)-VLOOKUP($I6,intervals!$A:$C,3,FALSE)),""))</f>
        <v/>
      </c>
      <c r="L6" s="7" t="inlineStr">
        <is>
          <t>sedimentary</t>
        </is>
      </c>
      <c r="M6" s="5" t="inlineStr"/>
      <c r="N6" s="5" t="inlineStr">
        <is>
          <t>unknown</t>
        </is>
      </c>
      <c r="O6" s="5" t="inlineStr">
        <is>
          <t>Cenozoic Quaternary late Middle Pleistocene - Holocene; landslide deposits [Quaternary Basin &amp; Terrace Deposits]</t>
        </is>
      </c>
      <c r="P6" s="5" t="inlineStr"/>
      <c r="Q6" s="5" t="inlineStr"/>
      <c r="R6" s="5" t="inlineStr">
        <is>
          <t>unknown</t>
        </is>
      </c>
      <c r="S6" s="5" t="inlineStr"/>
      <c r="T6" s="5" t="inlineStr">
        <is>
          <t>GSJ 200k Seamless Q22-H_sdd</t>
        </is>
      </c>
      <c r="U6" s="5" t="inlineStr"/>
      <c r="V6" s="10" t="inlineStr">
        <is>
          <t>Q22-H_sdd</t>
        </is>
      </c>
      <c r="W6" s="10" t="inlineStr">
        <is>
          <t>新生代 第四紀 後期チバニアン期〜完新世</t>
        </is>
      </c>
      <c r="X6" s="10" t="inlineStr">
        <is>
          <t>Cenozoic Quaternary late Middle Pleistocene - Holocene</t>
        </is>
      </c>
      <c r="Y6" s="10" t="inlineStr">
        <is>
          <t>地すべり堆積物</t>
        </is>
      </c>
      <c r="Z6" s="10" t="inlineStr">
        <is>
          <t>landslide deposits</t>
        </is>
      </c>
      <c r="AA6" s="10" t="inlineStr">
        <is>
          <t>堆積岩</t>
        </is>
      </c>
      <c r="AB6" s="10" t="inlineStr">
        <is>
          <t>Sedimentary rocks</t>
        </is>
      </c>
      <c r="AC6" s="10" t="inlineStr">
        <is>
          <t>Quaternary Basin &amp; Terrace Deposits</t>
        </is>
      </c>
    </row>
    <row r="7">
      <c r="A7" s="5" t="inlineStr">
        <is>
          <t>m200k_NI-53-21_u001</t>
        </is>
      </c>
      <c r="B7" s="6" t="inlineStr">
        <is>
          <t>col_1</t>
        </is>
      </c>
      <c r="C7" s="6" t="n">
        <v>6</v>
      </c>
      <c r="D7" s="7" t="inlineStr">
        <is>
          <t>Holocene Sedimentary (Tokushima Quaternary)</t>
        </is>
      </c>
      <c r="E7" s="5" t="inlineStr">
        <is>
          <t>Tokushima Quaternary Basin &amp; Terrace Deposits</t>
        </is>
      </c>
      <c r="F7" s="6" t="inlineStr">
        <is>
          <t>Holocene</t>
        </is>
      </c>
      <c r="G7" s="8" t="n">
        <v>0</v>
      </c>
      <c r="H7" s="9">
        <f>IF(OR($F7="",$G7=""),"",IFERROR((VLOOKUP($F7,intervals!$A:$C,2,FALSE)-$G7)/(VLOOKUP($F7,intervals!$A:$C,2,FALSE)-VLOOKUP($F7,intervals!$A:$C,3,FALSE)),""))</f>
        <v/>
      </c>
      <c r="I7" s="6" t="inlineStr">
        <is>
          <t>Holocene</t>
        </is>
      </c>
      <c r="J7" s="8" t="n">
        <v>0.0117</v>
      </c>
      <c r="K7" s="9">
        <f>IF(OR($I7="",$J7=""),"",IFERROR((VLOOKUP($I7,intervals!$A:$C,2,FALSE)-$J7)/(VLOOKUP($I7,intervals!$A:$C,2,FALSE)-VLOOKUP($I7,intervals!$A:$C,3,FALSE)),""))</f>
        <v/>
      </c>
      <c r="L7" s="7" t="inlineStr">
        <is>
          <t>sedimentary</t>
        </is>
      </c>
      <c r="M7" s="5" t="inlineStr"/>
      <c r="N7" s="5" t="inlineStr">
        <is>
          <t>unknown</t>
        </is>
      </c>
      <c r="O7" s="5" t="inlineStr">
        <is>
          <t>Cenozoic Quaternary late Holocene; Reclaimed land [Quaternary Basin &amp; Terrace Deposits]</t>
        </is>
      </c>
      <c r="P7" s="5" t="inlineStr"/>
      <c r="Q7" s="5" t="inlineStr"/>
      <c r="R7" s="5" t="inlineStr">
        <is>
          <t>unknown</t>
        </is>
      </c>
      <c r="S7" s="5" t="inlineStr"/>
      <c r="T7" s="5" t="inlineStr">
        <is>
          <t>GSJ 200k Seamless H2_or</t>
        </is>
      </c>
      <c r="U7" s="5" t="inlineStr"/>
      <c r="V7" s="10" t="inlineStr">
        <is>
          <t>H2_or</t>
        </is>
      </c>
      <c r="W7" s="10" t="inlineStr">
        <is>
          <t>新生代 第四紀 後期完新世</t>
        </is>
      </c>
      <c r="X7" s="10" t="inlineStr">
        <is>
          <t>Cenozoic Quaternary late Holocene</t>
        </is>
      </c>
      <c r="Y7" s="10" t="inlineStr">
        <is>
          <t>盛り土・埋立地・干拓地</t>
        </is>
      </c>
      <c r="Z7" s="10" t="inlineStr">
        <is>
          <t>Reclaimed land</t>
        </is>
      </c>
      <c r="AA7" s="10" t="inlineStr">
        <is>
          <t>その他</t>
        </is>
      </c>
      <c r="AB7" s="10" t="inlineStr">
        <is>
          <t>Other</t>
        </is>
      </c>
      <c r="AC7" s="10" t="inlineStr">
        <is>
          <t>Quaternary Basin &amp; Terrace Deposits</t>
        </is>
      </c>
    </row>
    <row r="8">
      <c r="A8" s="5" t="inlineStr">
        <is>
          <t>m200k_NI-53-21_u002</t>
        </is>
      </c>
      <c r="B8" s="6" t="inlineStr">
        <is>
          <t>col_1</t>
        </is>
      </c>
      <c r="C8" s="6" t="n">
        <v>7</v>
      </c>
      <c r="D8" s="7" t="inlineStr">
        <is>
          <t>Holocene Sedimentary (Tokushima Quaternary)</t>
        </is>
      </c>
      <c r="E8" s="5" t="inlineStr">
        <is>
          <t>Tokushima Quaternary Basin &amp; Terrace Deposits</t>
        </is>
      </c>
      <c r="F8" s="6" t="inlineStr">
        <is>
          <t>Holocene</t>
        </is>
      </c>
      <c r="G8" s="8" t="n">
        <v>0</v>
      </c>
      <c r="H8" s="9">
        <f>IF(OR($F8="",$G8=""),"",IFERROR((VLOOKUP($F8,intervals!$A:$C,2,FALSE)-$G8)/(VLOOKUP($F8,intervals!$A:$C,2,FALSE)-VLOOKUP($F8,intervals!$A:$C,3,FALSE)),""))</f>
        <v/>
      </c>
      <c r="I8" s="6" t="inlineStr">
        <is>
          <t>Holocene</t>
        </is>
      </c>
      <c r="J8" s="8" t="n">
        <v>0.0117</v>
      </c>
      <c r="K8" s="9">
        <f>IF(OR($I8="",$J8=""),"",IFERROR((VLOOKUP($I8,intervals!$A:$C,2,FALSE)-$J8)/(VLOOKUP($I8,intervals!$A:$C,2,FALSE)-VLOOKUP($I8,intervals!$A:$C,3,FALSE)),""))</f>
        <v/>
      </c>
      <c r="L8" s="7" t="inlineStr">
        <is>
          <t>sedimentary</t>
        </is>
      </c>
      <c r="M8" s="5" t="inlineStr"/>
      <c r="N8" s="5" t="inlineStr">
        <is>
          <t>fluvial</t>
        </is>
      </c>
      <c r="O8" s="5" t="inlineStr">
        <is>
          <t>Cenozoic Quaternary Holocene; valley floor, intermountain basin, river &amp;  coastal plain deposits [Quaternary Basin &amp; Terrace Deposits]</t>
        </is>
      </c>
      <c r="P8" s="5" t="inlineStr"/>
      <c r="Q8" s="5" t="inlineStr"/>
      <c r="R8" s="5" t="inlineStr">
        <is>
          <t>unknown</t>
        </is>
      </c>
      <c r="S8" s="5" t="inlineStr"/>
      <c r="T8" s="5" t="inlineStr">
        <is>
          <t>GSJ 200k Seamless H_sad</t>
        </is>
      </c>
      <c r="U8" s="5" t="inlineStr"/>
      <c r="V8" s="10" t="inlineStr">
        <is>
          <t>H_sad</t>
        </is>
      </c>
      <c r="W8" s="10" t="inlineStr">
        <is>
          <t>新生代 第四紀 完新世</t>
        </is>
      </c>
      <c r="X8" s="10" t="inlineStr">
        <is>
          <t>Cenozoic Quaternary Holocene</t>
        </is>
      </c>
      <c r="Y8" s="10" t="inlineStr">
        <is>
          <t>谷底平野・山間盆地・河川・海岸平野堆積物</t>
        </is>
      </c>
      <c r="Z8" s="10" t="inlineStr">
        <is>
          <t>valley floor, intermountain basin, river &amp;  coastal plain deposits</t>
        </is>
      </c>
      <c r="AA8" s="10" t="inlineStr">
        <is>
          <t>堆積岩</t>
        </is>
      </c>
      <c r="AB8" s="10" t="inlineStr">
        <is>
          <t>Sedimentary rocks</t>
        </is>
      </c>
      <c r="AC8" s="10" t="inlineStr">
        <is>
          <t>Quaternary Basin &amp; Terrace Deposits</t>
        </is>
      </c>
    </row>
    <row r="9">
      <c r="A9" s="5" t="inlineStr">
        <is>
          <t>m200k_NI-53-21_u008</t>
        </is>
      </c>
      <c r="B9" s="6" t="inlineStr">
        <is>
          <t>col_2</t>
        </is>
      </c>
      <c r="C9" s="6" t="n">
        <v>1</v>
      </c>
      <c r="D9" s="7" t="inlineStr">
        <is>
          <t>Santonian Dacite (Tokushima Neogene-Paleogene)</t>
        </is>
      </c>
      <c r="E9" s="5" t="inlineStr">
        <is>
          <t>Tokushima Neogene-Paleogene Volcanic Complex</t>
        </is>
      </c>
      <c r="F9" s="6" t="inlineStr">
        <is>
          <t>Santonian</t>
        </is>
      </c>
      <c r="G9" s="8" t="n">
        <v>83.59999999999999</v>
      </c>
      <c r="H9" s="9">
        <f>IF(OR($F9="",$G9=""),"",IFERROR((VLOOKUP($F9,intervals!$A:$C,2,FALSE)-$G9)/(VLOOKUP($F9,intervals!$A:$C,2,FALSE)-VLOOKUP($F9,intervals!$A:$C,3,FALSE)),""))</f>
        <v/>
      </c>
      <c r="I9" s="6" t="inlineStr">
        <is>
          <t>Cenomanian</t>
        </is>
      </c>
      <c r="J9" s="8" t="n">
        <v>100.5</v>
      </c>
      <c r="K9" s="9">
        <f>IF(OR($I9="",$J9=""),"",IFERROR((VLOOKUP($I9,intervals!$A:$C,2,FALSE)-$J9)/(VLOOKUP($I9,intervals!$A:$C,2,FALSE)-VLOOKUP($I9,intervals!$A:$C,3,FALSE)),""))</f>
        <v/>
      </c>
      <c r="L9" s="7" t="inlineStr">
        <is>
          <t>dacite</t>
        </is>
      </c>
      <c r="M9" s="5" t="inlineStr">
        <is>
          <t>rhyolite</t>
        </is>
      </c>
      <c r="N9" s="5" t="inlineStr">
        <is>
          <t>volcanic</t>
        </is>
      </c>
      <c r="O9" s="5" t="inlineStr">
        <is>
          <t>Mesozoic Late Cretaceous Cenomanian - Santonian; dacite &amp; rhyolite pyroclastic rocks [Neogene-Paleogene Volcanic Complex]</t>
        </is>
      </c>
      <c r="P9" s="5" t="inlineStr"/>
      <c r="Q9" s="5" t="inlineStr"/>
      <c r="R9" s="5" t="inlineStr">
        <is>
          <t>unknown</t>
        </is>
      </c>
      <c r="S9" s="5" t="inlineStr"/>
      <c r="T9" s="5" t="inlineStr">
        <is>
          <t>GSJ 200k Seamless K21_vas_ap</t>
        </is>
      </c>
      <c r="U9" s="5" t="inlineStr"/>
      <c r="V9" s="10" t="inlineStr">
        <is>
          <t>K21_vas_ap</t>
        </is>
      </c>
      <c r="W9" s="10" t="inlineStr">
        <is>
          <t>中生代 後期白亜紀 セノマニアン期〜サントニアン期</t>
        </is>
      </c>
      <c r="X9" s="10" t="inlineStr">
        <is>
          <t>Mesozoic Late Cretaceous Cenomanian - Santonian</t>
        </is>
      </c>
      <c r="Y9" s="10" t="inlineStr">
        <is>
          <t>デイサイト・流紋岩 大規模火砕流</t>
        </is>
      </c>
      <c r="Z9" s="10" t="inlineStr">
        <is>
          <t>dacite &amp; rhyolite pyroclastic rocks</t>
        </is>
      </c>
      <c r="AA9" s="10" t="inlineStr">
        <is>
          <t>火成岩</t>
        </is>
      </c>
      <c r="AB9" s="10" t="inlineStr">
        <is>
          <t>Igneous rocks</t>
        </is>
      </c>
      <c r="AC9" s="10" t="inlineStr">
        <is>
          <t>Neogene-Paleogene Volcanic Complex</t>
        </is>
      </c>
    </row>
    <row r="10">
      <c r="A10" s="5" t="inlineStr">
        <is>
          <t>m200k_NI-53-21_u009</t>
        </is>
      </c>
      <c r="B10" s="6" t="inlineStr">
        <is>
          <t>col_2</t>
        </is>
      </c>
      <c r="C10" s="6" t="n">
        <v>2</v>
      </c>
      <c r="D10" s="7" t="inlineStr">
        <is>
          <t>Maastrichtian Dacite (Tokushima Neogene-Paleogene)</t>
        </is>
      </c>
      <c r="E10" s="5" t="inlineStr">
        <is>
          <t>Tokushima Neogene-Paleogene Volcanic Complex</t>
        </is>
      </c>
      <c r="F10" s="6" t="inlineStr">
        <is>
          <t>Maastrichtian</t>
        </is>
      </c>
      <c r="G10" s="8" t="n">
        <v>66</v>
      </c>
      <c r="H10" s="9">
        <f>IF(OR($F10="",$G10=""),"",IFERROR((VLOOKUP($F10,intervals!$A:$C,2,FALSE)-$G10)/(VLOOKUP($F10,intervals!$A:$C,2,FALSE)-VLOOKUP($F10,intervals!$A:$C,3,FALSE)),""))</f>
        <v/>
      </c>
      <c r="I10" s="6" t="inlineStr">
        <is>
          <t>Campanian</t>
        </is>
      </c>
      <c r="J10" s="8" t="n">
        <v>83.59999999999999</v>
      </c>
      <c r="K10" s="9">
        <f>IF(OR($I10="",$J10=""),"",IFERROR((VLOOKUP($I10,intervals!$A:$C,2,FALSE)-$J10)/(VLOOKUP($I10,intervals!$A:$C,2,FALSE)-VLOOKUP($I10,intervals!$A:$C,3,FALSE)),""))</f>
        <v/>
      </c>
      <c r="L10" s="7" t="inlineStr">
        <is>
          <t>dacite</t>
        </is>
      </c>
      <c r="M10" s="5" t="inlineStr">
        <is>
          <t>rhyolite</t>
        </is>
      </c>
      <c r="N10" s="5" t="inlineStr">
        <is>
          <t>volcanic</t>
        </is>
      </c>
      <c r="O10" s="5" t="inlineStr">
        <is>
          <t>Mesozoic Late Cretaceous Campanian - Maastrichtian; dacite &amp; rhyolite pyroclastic rocks [Neogene-Paleogene Volcanic Complex]</t>
        </is>
      </c>
      <c r="P10" s="5" t="inlineStr"/>
      <c r="Q10" s="5" t="inlineStr"/>
      <c r="R10" s="5" t="inlineStr">
        <is>
          <t>unknown</t>
        </is>
      </c>
      <c r="S10" s="5" t="inlineStr"/>
      <c r="T10" s="5" t="inlineStr">
        <is>
          <t>GSJ 200k Seamless K22_vas_ap</t>
        </is>
      </c>
      <c r="U10" s="5" t="inlineStr"/>
      <c r="V10" s="10" t="inlineStr">
        <is>
          <t>K22_vas_ap</t>
        </is>
      </c>
      <c r="W10" s="10" t="inlineStr">
        <is>
          <t>中生代 後期白亜紀 カンパニアン期〜マーストリヒチアン期</t>
        </is>
      </c>
      <c r="X10" s="10" t="inlineStr">
        <is>
          <t>Mesozoic Late Cretaceous Campanian - Maastrichtian</t>
        </is>
      </c>
      <c r="Y10" s="10" t="inlineStr">
        <is>
          <t>デイサイト・流紋岩 大規模火砕流</t>
        </is>
      </c>
      <c r="Z10" s="10" t="inlineStr">
        <is>
          <t>dacite &amp; rhyolite pyroclastic rocks</t>
        </is>
      </c>
      <c r="AA10" s="10" t="inlineStr">
        <is>
          <t>火成岩</t>
        </is>
      </c>
      <c r="AB10" s="10" t="inlineStr">
        <is>
          <t>Igneous rocks</t>
        </is>
      </c>
      <c r="AC10" s="10" t="inlineStr">
        <is>
          <t>Neogene-Paleogene Volcanic Complex</t>
        </is>
      </c>
    </row>
    <row r="11">
      <c r="A11" s="5" t="inlineStr">
        <is>
          <t>m200k_NI-53-21_u010</t>
        </is>
      </c>
      <c r="B11" s="6" t="inlineStr">
        <is>
          <t>col_2</t>
        </is>
      </c>
      <c r="C11" s="6" t="n">
        <v>3</v>
      </c>
      <c r="D11" s="7" t="inlineStr">
        <is>
          <t>Rupelian Basalt (Tokushima Neogene-Paleogene)</t>
        </is>
      </c>
      <c r="E11" s="5" t="inlineStr">
        <is>
          <t>Tokushima Neogene-Paleogene Volcanic Complex</t>
        </is>
      </c>
      <c r="F11" s="6" t="inlineStr">
        <is>
          <t>Rupelian</t>
        </is>
      </c>
      <c r="G11" s="8" t="n">
        <v>27.3</v>
      </c>
      <c r="H11" s="9">
        <f>IF(OR($F11="",$G11=""),"",IFERROR((VLOOKUP($F11,intervals!$A:$C,2,FALSE)-$G11)/(VLOOKUP($F11,intervals!$A:$C,2,FALSE)-VLOOKUP($F11,intervals!$A:$C,3,FALSE)),""))</f>
        <v/>
      </c>
      <c r="I11" s="6" t="inlineStr">
        <is>
          <t>Rupelian</t>
        </is>
      </c>
      <c r="J11" s="8" t="n">
        <v>33.9</v>
      </c>
      <c r="K11" s="9">
        <f>IF(OR($I11="",$J11=""),"",IFERROR((VLOOKUP($I11,intervals!$A:$C,2,FALSE)-$J11)/(VLOOKUP($I11,intervals!$A:$C,2,FALSE)-VLOOKUP($I11,intervals!$A:$C,3,FALSE)),""))</f>
        <v/>
      </c>
      <c r="L11" s="7" t="inlineStr">
        <is>
          <t>basalt</t>
        </is>
      </c>
      <c r="M11" s="5" t="inlineStr"/>
      <c r="N11" s="5" t="inlineStr">
        <is>
          <t>volcanic</t>
        </is>
      </c>
      <c r="O11" s="5" t="inlineStr">
        <is>
          <t>Cenozoic Paleogene Oligocene Rupelian; basalt lava &amp; pyroclastic rocks [Neogene-Paleogene Volcanic Complex]</t>
        </is>
      </c>
      <c r="P11" s="5" t="inlineStr"/>
      <c r="Q11" s="5" t="inlineStr"/>
      <c r="R11" s="5" t="inlineStr">
        <is>
          <t>unknown</t>
        </is>
      </c>
      <c r="S11" s="5" t="inlineStr"/>
      <c r="T11" s="5" t="inlineStr">
        <is>
          <t>GSJ 200k Seamless Pg3_vbs_al</t>
        </is>
      </c>
      <c r="U11" s="5" t="inlineStr"/>
      <c r="V11" s="10" t="inlineStr">
        <is>
          <t>Pg3_vbs_al</t>
        </is>
      </c>
      <c r="W11" s="10" t="inlineStr">
        <is>
          <t>新生代 古第三紀 漸新世 ルペリアン期</t>
        </is>
      </c>
      <c r="X11" s="10" t="inlineStr">
        <is>
          <t>Cenozoic Paleogene Oligocene Rupelian</t>
        </is>
      </c>
      <c r="Y11" s="10" t="inlineStr">
        <is>
          <t>玄武岩 溶岩・火砕岩</t>
        </is>
      </c>
      <c r="Z11" s="10" t="inlineStr">
        <is>
          <t>basalt lava &amp; pyroclastic rocks</t>
        </is>
      </c>
      <c r="AA11" s="10" t="inlineStr">
        <is>
          <t>火成岩</t>
        </is>
      </c>
      <c r="AB11" s="10" t="inlineStr">
        <is>
          <t>Igneous rocks</t>
        </is>
      </c>
      <c r="AC11" s="10" t="inlineStr">
        <is>
          <t>Neogene-Paleogene Volcanic Complex</t>
        </is>
      </c>
    </row>
    <row r="12">
      <c r="A12" s="5" t="inlineStr">
        <is>
          <t>m200k_NI-53-21_u011</t>
        </is>
      </c>
      <c r="B12" s="6" t="inlineStr">
        <is>
          <t>col_2</t>
        </is>
      </c>
      <c r="C12" s="6" t="n">
        <v>4</v>
      </c>
      <c r="D12" s="7" t="inlineStr">
        <is>
          <t>Tortonian Andesite (Tokushima Neogene-Paleogene)</t>
        </is>
      </c>
      <c r="E12" s="5" t="inlineStr">
        <is>
          <t>Tokushima Neogene-Paleogene Volcanic Complex</t>
        </is>
      </c>
      <c r="F12" s="6" t="inlineStr">
        <is>
          <t>Tortonian</t>
        </is>
      </c>
      <c r="G12" s="8" t="n">
        <v>7.246</v>
      </c>
      <c r="H12" s="9">
        <f>IF(OR($F12="",$G12=""),"",IFERROR((VLOOKUP($F12,intervals!$A:$C,2,FALSE)-$G12)/(VLOOKUP($F12,intervals!$A:$C,2,FALSE)-VLOOKUP($F12,intervals!$A:$C,3,FALSE)),""))</f>
        <v/>
      </c>
      <c r="I12" s="6" t="inlineStr">
        <is>
          <t>Langhian</t>
        </is>
      </c>
      <c r="J12" s="8" t="n">
        <v>15.98</v>
      </c>
      <c r="K12" s="9">
        <f>IF(OR($I12="",$J12=""),"",IFERROR((VLOOKUP($I12,intervals!$A:$C,2,FALSE)-$J12)/(VLOOKUP($I12,intervals!$A:$C,2,FALSE)-VLOOKUP($I12,intervals!$A:$C,3,FALSE)),""))</f>
        <v/>
      </c>
      <c r="L12" s="7" t="inlineStr">
        <is>
          <t>andesite</t>
        </is>
      </c>
      <c r="M12" s="5" t="inlineStr"/>
      <c r="N12" s="5" t="inlineStr">
        <is>
          <t>volcanic</t>
        </is>
      </c>
      <c r="O12" s="5" t="inlineStr">
        <is>
          <t>Cenozoic Neogene Miocene late Langhian - Tortonian; andesite &amp; basaltic andesite lava &amp; pyroclastic rocks [Neogene-Paleogene Volcanic Complex]</t>
        </is>
      </c>
      <c r="P12" s="5" t="inlineStr"/>
      <c r="Q12" s="5" t="inlineStr"/>
      <c r="R12" s="5" t="inlineStr">
        <is>
          <t>unknown</t>
        </is>
      </c>
      <c r="S12" s="5" t="inlineStr"/>
      <c r="T12" s="5" t="inlineStr">
        <is>
          <t>GSJ 200k Seamless N2_vis_al</t>
        </is>
      </c>
      <c r="U12" s="5" t="inlineStr"/>
      <c r="V12" s="10" t="inlineStr">
        <is>
          <t>N2_vis_al</t>
        </is>
      </c>
      <c r="W12" s="10" t="inlineStr">
        <is>
          <t>新生代 新第三紀 中新世 後期ランギアン期〜トートニアン期</t>
        </is>
      </c>
      <c r="X12" s="10" t="inlineStr">
        <is>
          <t>Cenozoic Neogene Miocene late Langhian - Tortonian</t>
        </is>
      </c>
      <c r="Y12" s="10" t="inlineStr">
        <is>
          <t>安山岩・玄武岩質安山岩 溶岩・火砕岩</t>
        </is>
      </c>
      <c r="Z12" s="10" t="inlineStr">
        <is>
          <t>andesite &amp; basaltic andesite lava &amp; pyroclastic rocks</t>
        </is>
      </c>
      <c r="AA12" s="10" t="inlineStr">
        <is>
          <t>火成岩</t>
        </is>
      </c>
      <c r="AB12" s="10" t="inlineStr">
        <is>
          <t>Igneous rocks</t>
        </is>
      </c>
      <c r="AC12" s="10" t="inlineStr">
        <is>
          <t>Neogene-Paleogene Volcanic Complex</t>
        </is>
      </c>
    </row>
    <row r="13">
      <c r="A13" s="5" t="inlineStr">
        <is>
          <t>m200k_NI-53-21_u012</t>
        </is>
      </c>
      <c r="B13" s="6" t="inlineStr">
        <is>
          <t>col_2</t>
        </is>
      </c>
      <c r="C13" s="6" t="n">
        <v>5</v>
      </c>
      <c r="D13" s="7" t="inlineStr">
        <is>
          <t>Tortonian Dacite (Tokushima Neogene-Paleogene)</t>
        </is>
      </c>
      <c r="E13" s="5" t="inlineStr">
        <is>
          <t>Tokushima Neogene-Paleogene Volcanic Complex</t>
        </is>
      </c>
      <c r="F13" s="6" t="inlineStr">
        <is>
          <t>Tortonian</t>
        </is>
      </c>
      <c r="G13" s="8" t="n">
        <v>7.246</v>
      </c>
      <c r="H13" s="9">
        <f>IF(OR($F13="",$G13=""),"",IFERROR((VLOOKUP($F13,intervals!$A:$C,2,FALSE)-$G13)/(VLOOKUP($F13,intervals!$A:$C,2,FALSE)-VLOOKUP($F13,intervals!$A:$C,3,FALSE)),""))</f>
        <v/>
      </c>
      <c r="I13" s="6" t="inlineStr">
        <is>
          <t>Langhian</t>
        </is>
      </c>
      <c r="J13" s="8" t="n">
        <v>15.98</v>
      </c>
      <c r="K13" s="9">
        <f>IF(OR($I13="",$J13=""),"",IFERROR((VLOOKUP($I13,intervals!$A:$C,2,FALSE)-$J13)/(VLOOKUP($I13,intervals!$A:$C,2,FALSE)-VLOOKUP($I13,intervals!$A:$C,3,FALSE)),""))</f>
        <v/>
      </c>
      <c r="L13" s="7" t="inlineStr">
        <is>
          <t>dacite</t>
        </is>
      </c>
      <c r="M13" s="5" t="inlineStr">
        <is>
          <t>rhyolite</t>
        </is>
      </c>
      <c r="N13" s="5" t="inlineStr">
        <is>
          <t>volcanic</t>
        </is>
      </c>
      <c r="O13" s="5" t="inlineStr">
        <is>
          <t>Cenozoic Neogene Miocene late Langhian - Tortonian; dacite &amp; rhyolite lava &amp; pyroclastic rocks [Neogene-Paleogene Volcanic Complex]</t>
        </is>
      </c>
      <c r="P13" s="5" t="inlineStr"/>
      <c r="Q13" s="5" t="inlineStr"/>
      <c r="R13" s="5" t="inlineStr">
        <is>
          <t>unknown</t>
        </is>
      </c>
      <c r="S13" s="5" t="inlineStr"/>
      <c r="T13" s="5" t="inlineStr">
        <is>
          <t>GSJ 200k Seamless N2_vas_al</t>
        </is>
      </c>
      <c r="U13" s="5" t="inlineStr"/>
      <c r="V13" s="10" t="inlineStr">
        <is>
          <t>N2_vas_al</t>
        </is>
      </c>
      <c r="W13" s="10" t="inlineStr">
        <is>
          <t>新生代 新第三紀 中新世 後期ランギアン期〜トートニアン期</t>
        </is>
      </c>
      <c r="X13" s="10" t="inlineStr">
        <is>
          <t>Cenozoic Neogene Miocene late Langhian - Tortonian</t>
        </is>
      </c>
      <c r="Y13" s="10" t="inlineStr">
        <is>
          <t>デイサイト・流紋岩 溶岩・火砕岩</t>
        </is>
      </c>
      <c r="Z13" s="10" t="inlineStr">
        <is>
          <t>dacite &amp; rhyolite lava &amp; pyroclastic rocks</t>
        </is>
      </c>
      <c r="AA13" s="10" t="inlineStr">
        <is>
          <t>火成岩</t>
        </is>
      </c>
      <c r="AB13" s="10" t="inlineStr">
        <is>
          <t>Igneous rocks</t>
        </is>
      </c>
      <c r="AC13" s="10" t="inlineStr">
        <is>
          <t>Neogene-Paleogene Volcanic Complex</t>
        </is>
      </c>
    </row>
    <row r="14">
      <c r="A14" s="5" t="inlineStr">
        <is>
          <t>m200k_NI-53-21_u015</t>
        </is>
      </c>
      <c r="B14" s="6" t="inlineStr">
        <is>
          <t>col_3</t>
        </is>
      </c>
      <c r="C14" s="6" t="n">
        <v>1</v>
      </c>
      <c r="D14" s="7" t="inlineStr">
        <is>
          <t>Lopingian Sandstone (Tokushima Accretionary)</t>
        </is>
      </c>
      <c r="E14" s="5" t="inlineStr">
        <is>
          <t>Tokushima Accretionary Complex</t>
        </is>
      </c>
      <c r="F14" s="6" t="inlineStr">
        <is>
          <t>Lopingian</t>
        </is>
      </c>
      <c r="G14" s="8" t="n">
        <v>251.902</v>
      </c>
      <c r="H14" s="9">
        <f>IF(OR($F14="",$G14=""),"",IFERROR((VLOOKUP($F14,intervals!$A:$C,2,FALSE)-$G14)/(VLOOKUP($F14,intervals!$A:$C,2,FALSE)-VLOOKUP($F14,intervals!$A:$C,3,FALSE)),""))</f>
        <v/>
      </c>
      <c r="I14" s="6" t="inlineStr">
        <is>
          <t>Guadalupian</t>
        </is>
      </c>
      <c r="J14" s="8" t="n">
        <v>274.4</v>
      </c>
      <c r="K14" s="9">
        <f>IF(OR($I14="",$J14=""),"",IFERROR((VLOOKUP($I14,intervals!$A:$C,2,FALSE)-$J14)/(VLOOKUP($I14,intervals!$A:$C,2,FALSE)-VLOOKUP($I14,intervals!$A:$C,3,FALSE)),""))</f>
        <v/>
      </c>
      <c r="L14" s="7" t="inlineStr">
        <is>
          <t>sandstone</t>
        </is>
      </c>
      <c r="M14" s="5" t="inlineStr">
        <is>
          <t>mudstone</t>
        </is>
      </c>
      <c r="N14" s="5" t="inlineStr">
        <is>
          <t>marine</t>
        </is>
      </c>
      <c r="O14" s="5" t="inlineStr">
        <is>
          <t>Paleozoic Permian Guadalupian - Lopingian; marine alternation of sandstone &amp; mudstone middle to late Permian accretionary complex [Accretionary Complex]</t>
        </is>
      </c>
      <c r="P14" s="5" t="inlineStr"/>
      <c r="Q14" s="5" t="inlineStr"/>
      <c r="R14" s="5" t="inlineStr">
        <is>
          <t>unknown</t>
        </is>
      </c>
      <c r="S14" s="5" t="inlineStr"/>
      <c r="T14" s="5" t="inlineStr">
        <is>
          <t>GSJ 200k Seamless P2-3_sosma_P2</t>
        </is>
      </c>
      <c r="U14" s="5" t="inlineStr"/>
      <c r="V14" s="10" t="inlineStr">
        <is>
          <t>P2-3_sosma_P2</t>
        </is>
      </c>
      <c r="W14" s="10" t="inlineStr">
        <is>
          <t>古生代 ペルム紀 グアダルピアン世〜ローピンジアン世</t>
        </is>
      </c>
      <c r="X14" s="10" t="inlineStr">
        <is>
          <t>Paleozoic Permian Guadalupian - Lopingian</t>
        </is>
      </c>
      <c r="Y14" s="10" t="inlineStr">
        <is>
          <t>海成層 砂岩泥岩互層 中期-後期ペルム紀付加体</t>
        </is>
      </c>
      <c r="Z14" s="10" t="inlineStr">
        <is>
          <t>marine alternation of sandstone &amp; mudstone middle to late Permian accretionary complex</t>
        </is>
      </c>
      <c r="AA14" s="10" t="inlineStr">
        <is>
          <t>付加体</t>
        </is>
      </c>
      <c r="AB14" s="10" t="inlineStr">
        <is>
          <t>Accretionary complexes</t>
        </is>
      </c>
      <c r="AC14" s="10" t="inlineStr">
        <is>
          <t>Accretionary Complex</t>
        </is>
      </c>
    </row>
    <row r="15">
      <c r="A15" s="5" t="inlineStr">
        <is>
          <t>m200k_NI-53-21_u013</t>
        </is>
      </c>
      <c r="B15" s="6" t="inlineStr">
        <is>
          <t>col_3</t>
        </is>
      </c>
      <c r="C15" s="6" t="n">
        <v>2</v>
      </c>
      <c r="D15" s="7" t="inlineStr">
        <is>
          <t>Bajocian Sandstone (Tokushima Accretionary)</t>
        </is>
      </c>
      <c r="E15" s="5" t="inlineStr">
        <is>
          <t>Tokushima Accretionary Complex</t>
        </is>
      </c>
      <c r="F15" s="6" t="inlineStr">
        <is>
          <t>Bajocian</t>
        </is>
      </c>
      <c r="G15" s="8" t="n">
        <v>168.2</v>
      </c>
      <c r="H15" s="9">
        <f>IF(OR($F15="",$G15=""),"",IFERROR((VLOOKUP($F15,intervals!$A:$C,2,FALSE)-$G15)/(VLOOKUP($F15,intervals!$A:$C,2,FALSE)-VLOOKUP($F15,intervals!$A:$C,3,FALSE)),""))</f>
        <v/>
      </c>
      <c r="I15" s="6" t="inlineStr">
        <is>
          <t>Jurassic</t>
        </is>
      </c>
      <c r="J15" s="8" t="n">
        <v>201.4</v>
      </c>
      <c r="K15" s="9">
        <f>IF(OR($I15="",$J15=""),"",IFERROR((VLOOKUP($I15,intervals!$A:$C,2,FALSE)-$J15)/(VLOOKUP($I15,intervals!$A:$C,2,FALSE)-VLOOKUP($I15,intervals!$A:$C,3,FALSE)),""))</f>
        <v/>
      </c>
      <c r="L15" s="7" t="inlineStr">
        <is>
          <t>sandstone</t>
        </is>
      </c>
      <c r="M15" s="5" t="inlineStr">
        <is>
          <t>mudstone</t>
        </is>
      </c>
      <c r="N15" s="5" t="inlineStr">
        <is>
          <t>marine</t>
        </is>
      </c>
      <c r="O15" s="5" t="inlineStr">
        <is>
          <t>Mesozoic Jurassic Early - Middle Bajocian; marine alternation of sandstone &amp; mudstone Early to Middle Jurassic accretionary complex [Accretionary Complex]</t>
        </is>
      </c>
      <c r="P15" s="5" t="inlineStr"/>
      <c r="Q15" s="5" t="inlineStr"/>
      <c r="R15" s="5" t="inlineStr">
        <is>
          <t>unknown</t>
        </is>
      </c>
      <c r="S15" s="5" t="inlineStr"/>
      <c r="T15" s="5" t="inlineStr">
        <is>
          <t>GSJ 200k Seamless J1-22_sosma_J1</t>
        </is>
      </c>
      <c r="U15" s="5" t="inlineStr"/>
      <c r="V15" s="10" t="inlineStr">
        <is>
          <t>J1-22_sosma_J1</t>
        </is>
      </c>
      <c r="W15" s="10" t="inlineStr">
        <is>
          <t>中生代 前期ジュラ紀〜中期ジュラ紀 バジョシアン期</t>
        </is>
      </c>
      <c r="X15" s="10" t="inlineStr">
        <is>
          <t>Mesozoic Jurassic Early - Middle Bajocian</t>
        </is>
      </c>
      <c r="Y15" s="10" t="inlineStr">
        <is>
          <t>海成層 砂岩泥岩互層 前期-中期ジュラ紀付加体</t>
        </is>
      </c>
      <c r="Z15" s="10" t="inlineStr">
        <is>
          <t>marine alternation of sandstone &amp; mudstone Early to Middle Jurassic accretionary complex</t>
        </is>
      </c>
      <c r="AA15" s="10" t="inlineStr">
        <is>
          <t>付加体</t>
        </is>
      </c>
      <c r="AB15" s="10" t="inlineStr">
        <is>
          <t>Accretionary complexes</t>
        </is>
      </c>
      <c r="AC15" s="10" t="inlineStr">
        <is>
          <t>Accretionary Complex</t>
        </is>
      </c>
    </row>
    <row r="16">
      <c r="A16" s="5" t="inlineStr">
        <is>
          <t>m200k_NI-53-21_u014</t>
        </is>
      </c>
      <c r="B16" s="6" t="inlineStr">
        <is>
          <t>col_3</t>
        </is>
      </c>
      <c r="C16" s="6" t="n">
        <v>3</v>
      </c>
      <c r="D16" s="7" t="inlineStr">
        <is>
          <t>Bajocian Sedimentary (Tokushima Accretionary)</t>
        </is>
      </c>
      <c r="E16" s="5" t="inlineStr">
        <is>
          <t>Tokushima Accretionary Complex</t>
        </is>
      </c>
      <c r="F16" s="6" t="inlineStr">
        <is>
          <t>Bajocian</t>
        </is>
      </c>
      <c r="G16" s="8" t="n">
        <v>168.2</v>
      </c>
      <c r="H16" s="9">
        <f>IF(OR($F16="",$G16=""),"",IFERROR((VLOOKUP($F16,intervals!$A:$C,2,FALSE)-$G16)/(VLOOKUP($F16,intervals!$A:$C,2,FALSE)-VLOOKUP($F16,intervals!$A:$C,3,FALSE)),""))</f>
        <v/>
      </c>
      <c r="I16" s="6" t="inlineStr">
        <is>
          <t>Jurassic</t>
        </is>
      </c>
      <c r="J16" s="8" t="n">
        <v>201.4</v>
      </c>
      <c r="K16" s="9">
        <f>IF(OR($I16="",$J16=""),"",IFERROR((VLOOKUP($I16,intervals!$A:$C,2,FALSE)-$J16)/(VLOOKUP($I16,intervals!$A:$C,2,FALSE)-VLOOKUP($I16,intervals!$A:$C,3,FALSE)),""))</f>
        <v/>
      </c>
      <c r="L16" s="7" t="inlineStr">
        <is>
          <t>sedimentary</t>
        </is>
      </c>
      <c r="M16" s="5" t="inlineStr"/>
      <c r="N16" s="5" t="inlineStr">
        <is>
          <t>marine</t>
        </is>
      </c>
      <c r="O16" s="5" t="inlineStr">
        <is>
          <t>Mesozoic Jurassic Early - Middle Bajocian; mixed rock Early to Middle Jurassic accretionary complex [Accretionary Complex]</t>
        </is>
      </c>
      <c r="P16" s="5" t="inlineStr"/>
      <c r="Q16" s="5" t="inlineStr"/>
      <c r="R16" s="5" t="inlineStr">
        <is>
          <t>unknown</t>
        </is>
      </c>
      <c r="S16" s="5" t="inlineStr"/>
      <c r="T16" s="5" t="inlineStr">
        <is>
          <t>GSJ 200k Seamless J1-22_sx_J1</t>
        </is>
      </c>
      <c r="U16" s="5" t="inlineStr"/>
      <c r="V16" s="10" t="inlineStr">
        <is>
          <t>J1-22_sx_J1</t>
        </is>
      </c>
      <c r="W16" s="10" t="inlineStr">
        <is>
          <t>中生代 前期ジュラ紀〜中期ジュラ紀 バジョシアン期</t>
        </is>
      </c>
      <c r="X16" s="10" t="inlineStr">
        <is>
          <t>Mesozoic Jurassic Early - Middle Bajocian</t>
        </is>
      </c>
      <c r="Y16" s="10" t="inlineStr">
        <is>
          <t>混在岩 前期-中期ジュラ紀付加体</t>
        </is>
      </c>
      <c r="Z16" s="10" t="inlineStr">
        <is>
          <t>mixed rock Early to Middle Jurassic accretionary complex</t>
        </is>
      </c>
      <c r="AA16" s="10" t="inlineStr">
        <is>
          <t>付加体</t>
        </is>
      </c>
      <c r="AB16" s="10" t="inlineStr">
        <is>
          <t>Accretionary complexes</t>
        </is>
      </c>
      <c r="AC16" s="10" t="inlineStr">
        <is>
          <t>Accretionary Complex</t>
        </is>
      </c>
    </row>
    <row r="17">
      <c r="A17" s="5" t="inlineStr">
        <is>
          <t>m200k_NI-53-21_u016</t>
        </is>
      </c>
      <c r="B17" s="6" t="inlineStr">
        <is>
          <t>col_4</t>
        </is>
      </c>
      <c r="C17" s="6" t="n">
        <v>1</v>
      </c>
      <c r="D17" s="7" t="inlineStr">
        <is>
          <t>Priabonian Sandstone (Tokushima Sedimentary)</t>
        </is>
      </c>
      <c r="E17" s="5" t="inlineStr">
        <is>
          <t>Tokushima Sedimentary rocks Succession</t>
        </is>
      </c>
      <c r="F17" s="6" t="inlineStr">
        <is>
          <t>Priabonian</t>
        </is>
      </c>
      <c r="G17" s="8" t="n">
        <v>33.9</v>
      </c>
      <c r="H17" s="9">
        <f>IF(OR($F17="",$G17=""),"",IFERROR((VLOOKUP($F17,intervals!$A:$C,2,FALSE)-$G17)/(VLOOKUP($F17,intervals!$A:$C,2,FALSE)-VLOOKUP($F17,intervals!$A:$C,3,FALSE)),""))</f>
        <v/>
      </c>
      <c r="I17" s="6" t="inlineStr">
        <is>
          <t>Lutetian</t>
        </is>
      </c>
      <c r="J17" s="8" t="n">
        <v>48.07</v>
      </c>
      <c r="K17" s="9">
        <f>IF(OR($I17="",$J17=""),"",IFERROR((VLOOKUP($I17,intervals!$A:$C,2,FALSE)-$J17)/(VLOOKUP($I17,intervals!$A:$C,2,FALSE)-VLOOKUP($I17,intervals!$A:$C,3,FALSE)),""))</f>
        <v/>
      </c>
      <c r="L17" s="7" t="inlineStr">
        <is>
          <t>sandstone</t>
        </is>
      </c>
      <c r="M17" s="5" t="inlineStr">
        <is>
          <t>mudstone</t>
        </is>
      </c>
      <c r="N17" s="5" t="inlineStr">
        <is>
          <t>marine</t>
        </is>
      </c>
      <c r="O17" s="5" t="inlineStr">
        <is>
          <t>Cenozoic Paleogene Eocene Lutetian - Priabonian; brackish, or marine &amp; non-marine  mixture sandstone, alternation of sandstone &amp; mudstone or sandstone &amp; mudstone  [Sedimentary rocks Succession]</t>
        </is>
      </c>
      <c r="P17" s="5" t="inlineStr"/>
      <c r="Q17" s="5" t="inlineStr"/>
      <c r="R17" s="5" t="inlineStr">
        <is>
          <t>unknown</t>
        </is>
      </c>
      <c r="S17" s="5" t="inlineStr"/>
      <c r="T17" s="5" t="inlineStr">
        <is>
          <t>GSJ 200k Seamless Pg2_sbs</t>
        </is>
      </c>
      <c r="U17" s="5" t="inlineStr"/>
      <c r="V17" s="10" t="inlineStr">
        <is>
          <t>Pg2_sbs</t>
        </is>
      </c>
      <c r="W17" s="10" t="inlineStr">
        <is>
          <t>新生代 古第三紀 始新世 ルテシアン期〜プリアボニアン期</t>
        </is>
      </c>
      <c r="X17" s="10" t="inlineStr">
        <is>
          <t>Cenozoic Paleogene Eocene Lutetian - Priabonian</t>
        </is>
      </c>
      <c r="Y17" s="10" t="inlineStr">
        <is>
          <t>汽水成層ないし海成・非海成混合層 砂岩，砂岩泥岩互層ないし砂岩・泥岩</t>
        </is>
      </c>
      <c r="Z17" s="10" t="inlineStr">
        <is>
          <t xml:space="preserve">brackish, or marine &amp; non-marine  mixture sandstone, alternation of sandstone &amp; mudstone or sandstone &amp; mudstone </t>
        </is>
      </c>
      <c r="AA17" s="10" t="inlineStr">
        <is>
          <t>堆積岩</t>
        </is>
      </c>
      <c r="AB17" s="10" t="inlineStr">
        <is>
          <t>Sedimentary rocks</t>
        </is>
      </c>
      <c r="AC17" s="10" t="inlineStr">
        <is>
          <t>Sedimentary rocks Succession</t>
        </is>
      </c>
    </row>
    <row r="18">
      <c r="A18" s="5" t="inlineStr">
        <is>
          <t>m200k_NI-53-21_u017</t>
        </is>
      </c>
      <c r="B18" s="6" t="inlineStr">
        <is>
          <t>col_5</t>
        </is>
      </c>
      <c r="C18" s="6" t="n">
        <v>1</v>
      </c>
      <c r="D18" s="7" t="inlineStr">
        <is>
          <t>Santonian Granite (Tokushima Plutonic)</t>
        </is>
      </c>
      <c r="E18" s="5" t="inlineStr">
        <is>
          <t>Tokushima Plutonic Complex</t>
        </is>
      </c>
      <c r="F18" s="6" t="inlineStr">
        <is>
          <t>Santonian</t>
        </is>
      </c>
      <c r="G18" s="8" t="n">
        <v>83.59999999999999</v>
      </c>
      <c r="H18" s="9">
        <f>IF(OR($F18="",$G18=""),"",IFERROR((VLOOKUP($F18,intervals!$A:$C,2,FALSE)-$G18)/(VLOOKUP($F18,intervals!$A:$C,2,FALSE)-VLOOKUP($F18,intervals!$A:$C,3,FALSE)),""))</f>
        <v/>
      </c>
      <c r="I18" s="6" t="inlineStr">
        <is>
          <t>Cenomanian</t>
        </is>
      </c>
      <c r="J18" s="8" t="n">
        <v>100.5</v>
      </c>
      <c r="K18" s="9">
        <f>IF(OR($I18="",$J18=""),"",IFERROR((VLOOKUP($I18,intervals!$A:$C,2,FALSE)-$J18)/(VLOOKUP($I18,intervals!$A:$C,2,FALSE)-VLOOKUP($I18,intervals!$A:$C,3,FALSE)),""))</f>
        <v/>
      </c>
      <c r="L18" s="7" t="inlineStr">
        <is>
          <t>granite</t>
        </is>
      </c>
      <c r="M18" s="5" t="inlineStr"/>
      <c r="N18" s="5" t="inlineStr">
        <is>
          <t>plutonic</t>
        </is>
      </c>
      <c r="O18" s="5" t="inlineStr">
        <is>
          <t>Mesozoic Late Cretaceous Cenomanian - Santonian; massive granite island arc &amp; continental [Plutonic Complex]</t>
        </is>
      </c>
      <c r="P18" s="5" t="inlineStr"/>
      <c r="Q18" s="5" t="inlineStr"/>
      <c r="R18" s="5" t="inlineStr">
        <is>
          <t>intrusive</t>
        </is>
      </c>
      <c r="S18" s="5" t="inlineStr"/>
      <c r="T18" s="5" t="inlineStr">
        <is>
          <t>GSJ 200k Seamless K21_pam_a</t>
        </is>
      </c>
      <c r="U18" s="5" t="inlineStr"/>
      <c r="V18" s="10" t="inlineStr">
        <is>
          <t>K21_pam_a</t>
        </is>
      </c>
      <c r="W18" s="10" t="inlineStr">
        <is>
          <t>中生代 後期白亜紀 セノマニアン期〜サントニアン期</t>
        </is>
      </c>
      <c r="X18" s="10" t="inlineStr">
        <is>
          <t>Mesozoic Late Cretaceous Cenomanian - Santonian</t>
        </is>
      </c>
      <c r="Y18" s="10" t="inlineStr">
        <is>
          <t>花崗岩 塊状 島弧・大陸</t>
        </is>
      </c>
      <c r="Z18" s="10" t="inlineStr">
        <is>
          <t>massive granite island arc &amp; continental</t>
        </is>
      </c>
      <c r="AA18" s="10" t="inlineStr">
        <is>
          <t>火成岩</t>
        </is>
      </c>
      <c r="AB18" s="10" t="inlineStr">
        <is>
          <t>Igneous rocks</t>
        </is>
      </c>
      <c r="AC18" s="10" t="inlineStr">
        <is>
          <t>Plutonic Complex</t>
        </is>
      </c>
    </row>
    <row r="19">
      <c r="A19" s="5" t="inlineStr">
        <is>
          <t>m200k_NI-53-21_u020</t>
        </is>
      </c>
      <c r="B19" s="6" t="inlineStr">
        <is>
          <t>col_5</t>
        </is>
      </c>
      <c r="C19" s="6" t="n">
        <v>2</v>
      </c>
      <c r="D19" s="7" t="inlineStr">
        <is>
          <t>Santonian Gabbro (Tokushima Plutonic)</t>
        </is>
      </c>
      <c r="E19" s="5" t="inlineStr">
        <is>
          <t>Tokushima Plutonic Complex</t>
        </is>
      </c>
      <c r="F19" s="6" t="inlineStr">
        <is>
          <t>Santonian</t>
        </is>
      </c>
      <c r="G19" s="8" t="n">
        <v>83.59999999999999</v>
      </c>
      <c r="H19" s="9">
        <f>IF(OR($F19="",$G19=""),"",IFERROR((VLOOKUP($F19,intervals!$A:$C,2,FALSE)-$G19)/(VLOOKUP($F19,intervals!$A:$C,2,FALSE)-VLOOKUP($F19,intervals!$A:$C,3,FALSE)),""))</f>
        <v/>
      </c>
      <c r="I19" s="6" t="inlineStr">
        <is>
          <t>Cenomanian</t>
        </is>
      </c>
      <c r="J19" s="8" t="n">
        <v>100.5</v>
      </c>
      <c r="K19" s="9">
        <f>IF(OR($I19="",$J19=""),"",IFERROR((VLOOKUP($I19,intervals!$A:$C,2,FALSE)-$J19)/(VLOOKUP($I19,intervals!$A:$C,2,FALSE)-VLOOKUP($I19,intervals!$A:$C,3,FALSE)),""))</f>
        <v/>
      </c>
      <c r="L19" s="7" t="inlineStr">
        <is>
          <t>gabbro</t>
        </is>
      </c>
      <c r="M19" s="5" t="inlineStr"/>
      <c r="N19" s="5" t="inlineStr">
        <is>
          <t>plutonic</t>
        </is>
      </c>
      <c r="O19" s="5" t="inlineStr">
        <is>
          <t>Mesozoic Late Cretaceous Cenomanian - Santonian; gabbro island arc &amp; continental [Plutonic Complex]</t>
        </is>
      </c>
      <c r="P19" s="5" t="inlineStr"/>
      <c r="Q19" s="5" t="inlineStr"/>
      <c r="R19" s="5" t="inlineStr">
        <is>
          <t>intrusive</t>
        </is>
      </c>
      <c r="S19" s="5" t="inlineStr"/>
      <c r="T19" s="5" t="inlineStr">
        <is>
          <t>GSJ 200k Seamless K21_pbg_a</t>
        </is>
      </c>
      <c r="U19" s="5" t="inlineStr"/>
      <c r="V19" s="10" t="inlineStr">
        <is>
          <t>K21_pbg_a</t>
        </is>
      </c>
      <c r="W19" s="10" t="inlineStr">
        <is>
          <t>中生代 後期白亜紀 セノマニアン期〜サントニアン期</t>
        </is>
      </c>
      <c r="X19" s="10" t="inlineStr">
        <is>
          <t>Mesozoic Late Cretaceous Cenomanian - Santonian</t>
        </is>
      </c>
      <c r="Y19" s="10" t="inlineStr">
        <is>
          <t>斑れい岩 島弧・大陸</t>
        </is>
      </c>
      <c r="Z19" s="10" t="inlineStr">
        <is>
          <t>gabbro island arc &amp; continental</t>
        </is>
      </c>
      <c r="AA19" s="10" t="inlineStr">
        <is>
          <t>火成岩</t>
        </is>
      </c>
      <c r="AB19" s="10" t="inlineStr">
        <is>
          <t>Igneous rocks</t>
        </is>
      </c>
      <c r="AC19" s="10" t="inlineStr">
        <is>
          <t>Plutonic Complex</t>
        </is>
      </c>
    </row>
    <row r="20">
      <c r="A20" s="5" t="inlineStr">
        <is>
          <t>m200k_NI-53-21_u018</t>
        </is>
      </c>
      <c r="B20" s="6" t="inlineStr">
        <is>
          <t>col_5</t>
        </is>
      </c>
      <c r="C20" s="6" t="n">
        <v>3</v>
      </c>
      <c r="D20" s="7" t="inlineStr">
        <is>
          <t>Maastrichtian Granite (Tokushima Plutonic)</t>
        </is>
      </c>
      <c r="E20" s="5" t="inlineStr">
        <is>
          <t>Tokushima Plutonic Complex</t>
        </is>
      </c>
      <c r="F20" s="6" t="inlineStr">
        <is>
          <t>Maastrichtian</t>
        </is>
      </c>
      <c r="G20" s="8" t="n">
        <v>66</v>
      </c>
      <c r="H20" s="9">
        <f>IF(OR($F20="",$G20=""),"",IFERROR((VLOOKUP($F20,intervals!$A:$C,2,FALSE)-$G20)/(VLOOKUP($F20,intervals!$A:$C,2,FALSE)-VLOOKUP($F20,intervals!$A:$C,3,FALSE)),""))</f>
        <v/>
      </c>
      <c r="I20" s="6" t="inlineStr">
        <is>
          <t>Campanian</t>
        </is>
      </c>
      <c r="J20" s="8" t="n">
        <v>83.59999999999999</v>
      </c>
      <c r="K20" s="9">
        <f>IF(OR($I20="",$J20=""),"",IFERROR((VLOOKUP($I20,intervals!$A:$C,2,FALSE)-$J20)/(VLOOKUP($I20,intervals!$A:$C,2,FALSE)-VLOOKUP($I20,intervals!$A:$C,3,FALSE)),""))</f>
        <v/>
      </c>
      <c r="L20" s="7" t="inlineStr">
        <is>
          <t>granite</t>
        </is>
      </c>
      <c r="M20" s="5" t="inlineStr"/>
      <c r="N20" s="5" t="inlineStr">
        <is>
          <t>plutonic</t>
        </is>
      </c>
      <c r="O20" s="5" t="inlineStr">
        <is>
          <t>Mesozoic Late Cretaceous Campanian - Maastrichtian; massive granite island arc &amp; continental [Plutonic Complex]</t>
        </is>
      </c>
      <c r="P20" s="5" t="inlineStr"/>
      <c r="Q20" s="5" t="inlineStr"/>
      <c r="R20" s="5" t="inlineStr">
        <is>
          <t>intrusive</t>
        </is>
      </c>
      <c r="S20" s="5" t="inlineStr"/>
      <c r="T20" s="5" t="inlineStr">
        <is>
          <t>GSJ 200k Seamless K22_pam_a</t>
        </is>
      </c>
      <c r="U20" s="5" t="inlineStr"/>
      <c r="V20" s="10" t="inlineStr">
        <is>
          <t>K22_pam_a</t>
        </is>
      </c>
      <c r="W20" s="10" t="inlineStr">
        <is>
          <t>中生代 後期白亜紀 カンパニアン期〜マーストリヒチアン期</t>
        </is>
      </c>
      <c r="X20" s="10" t="inlineStr">
        <is>
          <t>Mesozoic Late Cretaceous Campanian - Maastrichtian</t>
        </is>
      </c>
      <c r="Y20" s="10" t="inlineStr">
        <is>
          <t>花崗岩 塊状 島弧・大陸</t>
        </is>
      </c>
      <c r="Z20" s="10" t="inlineStr">
        <is>
          <t>massive granite island arc &amp; continental</t>
        </is>
      </c>
      <c r="AA20" s="10" t="inlineStr">
        <is>
          <t>火成岩</t>
        </is>
      </c>
      <c r="AB20" s="10" t="inlineStr">
        <is>
          <t>Igneous rocks</t>
        </is>
      </c>
      <c r="AC20" s="10" t="inlineStr">
        <is>
          <t>Plutonic Complex</t>
        </is>
      </c>
    </row>
    <row r="21">
      <c r="A21" s="5" t="inlineStr">
        <is>
          <t>m200k_NI-53-21_u019</t>
        </is>
      </c>
      <c r="B21" s="6" t="inlineStr">
        <is>
          <t>col_5</t>
        </is>
      </c>
      <c r="C21" s="6" t="n">
        <v>4</v>
      </c>
      <c r="D21" s="7" t="inlineStr">
        <is>
          <t>Maastrichtian Diorite (Tokushima Plutonic)</t>
        </is>
      </c>
      <c r="E21" s="5" t="inlineStr">
        <is>
          <t>Tokushima Plutonic Complex</t>
        </is>
      </c>
      <c r="F21" s="6" t="inlineStr">
        <is>
          <t>Maastrichtian</t>
        </is>
      </c>
      <c r="G21" s="8" t="n">
        <v>66</v>
      </c>
      <c r="H21" s="9">
        <f>IF(OR($F21="",$G21=""),"",IFERROR((VLOOKUP($F21,intervals!$A:$C,2,FALSE)-$G21)/(VLOOKUP($F21,intervals!$A:$C,2,FALSE)-VLOOKUP($F21,intervals!$A:$C,3,FALSE)),""))</f>
        <v/>
      </c>
      <c r="I21" s="6" t="inlineStr">
        <is>
          <t>Campanian</t>
        </is>
      </c>
      <c r="J21" s="8" t="n">
        <v>83.59999999999999</v>
      </c>
      <c r="K21" s="9">
        <f>IF(OR($I21="",$J21=""),"",IFERROR((VLOOKUP($I21,intervals!$A:$C,2,FALSE)-$J21)/(VLOOKUP($I21,intervals!$A:$C,2,FALSE)-VLOOKUP($I21,intervals!$A:$C,3,FALSE)),""))</f>
        <v/>
      </c>
      <c r="L21" s="7" t="inlineStr">
        <is>
          <t>diorite</t>
        </is>
      </c>
      <c r="M21" s="5" t="inlineStr"/>
      <c r="N21" s="5" t="inlineStr">
        <is>
          <t>plutonic</t>
        </is>
      </c>
      <c r="O21" s="5" t="inlineStr">
        <is>
          <t>Mesozoic Late Cretaceous Campanian - Maastrichtian; diorite &amp; quartz diorite island arc &amp; continental [Plutonic Complex]</t>
        </is>
      </c>
      <c r="P21" s="5" t="inlineStr"/>
      <c r="Q21" s="5" t="inlineStr"/>
      <c r="R21" s="5" t="inlineStr">
        <is>
          <t>intrusive</t>
        </is>
      </c>
      <c r="S21" s="5" t="inlineStr"/>
      <c r="T21" s="5" t="inlineStr">
        <is>
          <t>GSJ 200k Seamless K22_pbd_a</t>
        </is>
      </c>
      <c r="U21" s="5" t="inlineStr"/>
      <c r="V21" s="10" t="inlineStr">
        <is>
          <t>K22_pbd_a</t>
        </is>
      </c>
      <c r="W21" s="10" t="inlineStr">
        <is>
          <t>中生代 後期白亜紀 カンパニアン期〜マーストリヒチアン期</t>
        </is>
      </c>
      <c r="X21" s="10" t="inlineStr">
        <is>
          <t>Mesozoic Late Cretaceous Campanian - Maastrichtian</t>
        </is>
      </c>
      <c r="Y21" s="10" t="inlineStr">
        <is>
          <t>閃緑岩・石英閃緑岩 島弧・大陸</t>
        </is>
      </c>
      <c r="Z21" s="10" t="inlineStr">
        <is>
          <t>diorite &amp; quartz diorite island arc &amp; continental</t>
        </is>
      </c>
      <c r="AA21" s="10" t="inlineStr">
        <is>
          <t>火成岩</t>
        </is>
      </c>
      <c r="AB21" s="10" t="inlineStr">
        <is>
          <t>Igneous rocks</t>
        </is>
      </c>
      <c r="AC21" s="10" t="inlineStr">
        <is>
          <t>Plutonic Complex</t>
        </is>
      </c>
    </row>
    <row r="22">
      <c r="A22" s="5" t="inlineStr">
        <is>
          <t>m200k_NI-53-21_u021</t>
        </is>
      </c>
      <c r="B22" s="6" t="inlineStr">
        <is>
          <t>col_6</t>
        </is>
      </c>
      <c r="C22" s="6" t="n">
        <v>1</v>
      </c>
      <c r="D22" s="7" t="inlineStr">
        <is>
          <t>Santonian Tonalite (Tokushima Mesozoic)</t>
        </is>
      </c>
      <c r="E22" s="5" t="inlineStr">
        <is>
          <t>Tokushima Mesozoic Sedimentary Basin</t>
        </is>
      </c>
      <c r="F22" s="6" t="inlineStr">
        <is>
          <t>Santonian</t>
        </is>
      </c>
      <c r="G22" s="8" t="n">
        <v>83.59999999999999</v>
      </c>
      <c r="H22" s="9">
        <f>IF(OR($F22="",$G22=""),"",IFERROR((VLOOKUP($F22,intervals!$A:$C,2,FALSE)-$G22)/(VLOOKUP($F22,intervals!$A:$C,2,FALSE)-VLOOKUP($F22,intervals!$A:$C,3,FALSE)),""))</f>
        <v/>
      </c>
      <c r="I22" s="6" t="inlineStr">
        <is>
          <t>Cenomanian</t>
        </is>
      </c>
      <c r="J22" s="8" t="n">
        <v>100.5</v>
      </c>
      <c r="K22" s="9">
        <f>IF(OR($I22="",$J22=""),"",IFERROR((VLOOKUP($I22,intervals!$A:$C,2,FALSE)-$J22)/(VLOOKUP($I22,intervals!$A:$C,2,FALSE)-VLOOKUP($I22,intervals!$A:$C,3,FALSE)),""))</f>
        <v/>
      </c>
      <c r="L22" s="7" t="inlineStr">
        <is>
          <t>tonalite</t>
        </is>
      </c>
      <c r="M22" s="5" t="inlineStr"/>
      <c r="N22" s="5" t="inlineStr">
        <is>
          <t>unknown</t>
        </is>
      </c>
      <c r="O22" s="5" t="inlineStr">
        <is>
          <t>Mesozoic Late Cretaceous Cenomanian - Santonian; mssive granodiolite &amp; tonalite island arc &amp; continental [Mesozoic Sedimentary Basin]</t>
        </is>
      </c>
      <c r="P22" s="5" t="inlineStr"/>
      <c r="Q22" s="5" t="inlineStr"/>
      <c r="R22" s="5" t="inlineStr">
        <is>
          <t>unknown</t>
        </is>
      </c>
      <c r="S22" s="5" t="inlineStr"/>
      <c r="T22" s="5" t="inlineStr">
        <is>
          <t>GSJ 200k Seamless K21_pim_a</t>
        </is>
      </c>
      <c r="U22" s="5" t="inlineStr"/>
      <c r="V22" s="10" t="inlineStr">
        <is>
          <t>K21_pim_a</t>
        </is>
      </c>
      <c r="W22" s="10" t="inlineStr">
        <is>
          <t>中生代 後期白亜紀 セノマニアン期〜サントニアン期</t>
        </is>
      </c>
      <c r="X22" s="10" t="inlineStr">
        <is>
          <t>Mesozoic Late Cretaceous Cenomanian - Santonian</t>
        </is>
      </c>
      <c r="Y22" s="10" t="inlineStr">
        <is>
          <t>花崗閃緑岩・トーナル岩 塊状 島弧・大陸</t>
        </is>
      </c>
      <c r="Z22" s="10" t="inlineStr">
        <is>
          <t>mssive granodiolite &amp; tonalite island arc &amp; continental</t>
        </is>
      </c>
      <c r="AA22" s="10" t="inlineStr">
        <is>
          <t>火成岩</t>
        </is>
      </c>
      <c r="AB22" s="10" t="inlineStr">
        <is>
          <t>Igneous rocks</t>
        </is>
      </c>
      <c r="AC22" s="10" t="inlineStr">
        <is>
          <t>Mesozoic Sedimentary Basin</t>
        </is>
      </c>
    </row>
    <row r="23">
      <c r="A23" s="5" t="inlineStr">
        <is>
          <t>m200k_NI-53-21_u022</t>
        </is>
      </c>
      <c r="B23" s="6" t="inlineStr">
        <is>
          <t>col_6</t>
        </is>
      </c>
      <c r="C23" s="6" t="n">
        <v>2</v>
      </c>
      <c r="D23" s="7" t="inlineStr">
        <is>
          <t>Maastrichtian Sandstone (Tokushima Mesozoic)</t>
        </is>
      </c>
      <c r="E23" s="5" t="inlineStr">
        <is>
          <t>Tokushima Mesozoic Sedimentary Basin</t>
        </is>
      </c>
      <c r="F23" s="6" t="inlineStr">
        <is>
          <t>Maastrichtian</t>
        </is>
      </c>
      <c r="G23" s="8" t="n">
        <v>66</v>
      </c>
      <c r="H23" s="9">
        <f>IF(OR($F23="",$G23=""),"",IFERROR((VLOOKUP($F23,intervals!$A:$C,2,FALSE)-$G23)/(VLOOKUP($F23,intervals!$A:$C,2,FALSE)-VLOOKUP($F23,intervals!$A:$C,3,FALSE)),""))</f>
        <v/>
      </c>
      <c r="I23" s="6" t="inlineStr">
        <is>
          <t>Campanian</t>
        </is>
      </c>
      <c r="J23" s="8" t="n">
        <v>83.59999999999999</v>
      </c>
      <c r="K23" s="9">
        <f>IF(OR($I23="",$J23=""),"",IFERROR((VLOOKUP($I23,intervals!$A:$C,2,FALSE)-$J23)/(VLOOKUP($I23,intervals!$A:$C,2,FALSE)-VLOOKUP($I23,intervals!$A:$C,3,FALSE)),""))</f>
        <v/>
      </c>
      <c r="L23" s="7" t="inlineStr">
        <is>
          <t>sandstone</t>
        </is>
      </c>
      <c r="M23" s="5" t="inlineStr"/>
      <c r="N23" s="5" t="inlineStr">
        <is>
          <t>marine</t>
        </is>
      </c>
      <c r="O23" s="5" t="inlineStr">
        <is>
          <t>Mesozoic Late Cretaceous Campanian - Maastrichtian; marine sandstone [Mesozoic Sedimentary Basin]</t>
        </is>
      </c>
      <c r="P23" s="5" t="inlineStr"/>
      <c r="Q23" s="5" t="inlineStr"/>
      <c r="R23" s="5" t="inlineStr">
        <is>
          <t>unknown</t>
        </is>
      </c>
      <c r="S23" s="5" t="inlineStr"/>
      <c r="T23" s="5" t="inlineStr">
        <is>
          <t>GSJ 200k Seamless K22_soss</t>
        </is>
      </c>
      <c r="U23" s="5" t="inlineStr"/>
      <c r="V23" s="10" t="inlineStr">
        <is>
          <t>K22_soss</t>
        </is>
      </c>
      <c r="W23" s="10" t="inlineStr">
        <is>
          <t>中生代 後期白亜紀 カンパニアン期〜マーストリヒチアン期</t>
        </is>
      </c>
      <c r="X23" s="10" t="inlineStr">
        <is>
          <t>Mesozoic Late Cretaceous Campanian - Maastrichtian</t>
        </is>
      </c>
      <c r="Y23" s="10" t="inlineStr">
        <is>
          <t>海成層 砂岩</t>
        </is>
      </c>
      <c r="Z23" s="10" t="inlineStr">
        <is>
          <t>marine sandstone</t>
        </is>
      </c>
      <c r="AA23" s="10" t="inlineStr">
        <is>
          <t>堆積岩</t>
        </is>
      </c>
      <c r="AB23" s="10" t="inlineStr">
        <is>
          <t>Sedimentary rocks</t>
        </is>
      </c>
      <c r="AC23" s="10" t="inlineStr">
        <is>
          <t>Mesozoic Sedimentary Basin</t>
        </is>
      </c>
    </row>
    <row r="24">
      <c r="A24" s="5" t="inlineStr">
        <is>
          <t>m200k_NI-53-21_u023</t>
        </is>
      </c>
      <c r="B24" s="6" t="inlineStr">
        <is>
          <t>col_6</t>
        </is>
      </c>
      <c r="C24" s="6" t="n">
        <v>3</v>
      </c>
      <c r="D24" s="7" t="inlineStr">
        <is>
          <t>Maastrichtian Tonalite (Tokushima Mesozoic)</t>
        </is>
      </c>
      <c r="E24" s="5" t="inlineStr">
        <is>
          <t>Tokushima Mesozoic Sedimentary Basin</t>
        </is>
      </c>
      <c r="F24" s="6" t="inlineStr">
        <is>
          <t>Maastrichtian</t>
        </is>
      </c>
      <c r="G24" s="8" t="n">
        <v>66</v>
      </c>
      <c r="H24" s="9">
        <f>IF(OR($F24="",$G24=""),"",IFERROR((VLOOKUP($F24,intervals!$A:$C,2,FALSE)-$G24)/(VLOOKUP($F24,intervals!$A:$C,2,FALSE)-VLOOKUP($F24,intervals!$A:$C,3,FALSE)),""))</f>
        <v/>
      </c>
      <c r="I24" s="6" t="inlineStr">
        <is>
          <t>Campanian</t>
        </is>
      </c>
      <c r="J24" s="8" t="n">
        <v>83.59999999999999</v>
      </c>
      <c r="K24" s="9">
        <f>IF(OR($I24="",$J24=""),"",IFERROR((VLOOKUP($I24,intervals!$A:$C,2,FALSE)-$J24)/(VLOOKUP($I24,intervals!$A:$C,2,FALSE)-VLOOKUP($I24,intervals!$A:$C,3,FALSE)),""))</f>
        <v/>
      </c>
      <c r="L24" s="7" t="inlineStr">
        <is>
          <t>tonalite</t>
        </is>
      </c>
      <c r="M24" s="5" t="inlineStr"/>
      <c r="N24" s="5" t="inlineStr">
        <is>
          <t>unknown</t>
        </is>
      </c>
      <c r="O24" s="5" t="inlineStr">
        <is>
          <t>Mesozoic Late Cretaceous Campanian - Maastrichtian; mssive granodiolite &amp; tonalite island arc &amp; continental [Mesozoic Sedimentary Basin]</t>
        </is>
      </c>
      <c r="P24" s="5" t="inlineStr"/>
      <c r="Q24" s="5" t="inlineStr"/>
      <c r="R24" s="5" t="inlineStr">
        <is>
          <t>unknown</t>
        </is>
      </c>
      <c r="S24" s="5" t="inlineStr"/>
      <c r="T24" s="5" t="inlineStr">
        <is>
          <t>GSJ 200k Seamless K22_pim_a</t>
        </is>
      </c>
      <c r="U24" s="5" t="inlineStr"/>
      <c r="V24" s="10" t="inlineStr">
        <is>
          <t>K22_pim_a</t>
        </is>
      </c>
      <c r="W24" s="10" t="inlineStr">
        <is>
          <t>中生代 後期白亜紀 カンパニアン期〜マーストリヒチアン期</t>
        </is>
      </c>
      <c r="X24" s="10" t="inlineStr">
        <is>
          <t>Mesozoic Late Cretaceous Campanian - Maastrichtian</t>
        </is>
      </c>
      <c r="Y24" s="10" t="inlineStr">
        <is>
          <t>花崗閃緑岩・トーナル岩 塊状 島弧・大陸</t>
        </is>
      </c>
      <c r="Z24" s="10" t="inlineStr">
        <is>
          <t>mssive granodiolite &amp; tonalite island arc &amp; continental</t>
        </is>
      </c>
      <c r="AA24" s="10" t="inlineStr">
        <is>
          <t>火成岩</t>
        </is>
      </c>
      <c r="AB24" s="10" t="inlineStr">
        <is>
          <t>Igneous rocks</t>
        </is>
      </c>
      <c r="AC24" s="10" t="inlineStr">
        <is>
          <t>Mesozoic Sedimentary Basin</t>
        </is>
      </c>
    </row>
    <row r="25">
      <c r="A25" s="5" t="inlineStr">
        <is>
          <t>m200k_NI-53-21_u024</t>
        </is>
      </c>
      <c r="B25" s="6" t="inlineStr">
        <is>
          <t>col_6</t>
        </is>
      </c>
      <c r="C25" s="6" t="n">
        <v>4</v>
      </c>
      <c r="D25" s="7" t="inlineStr">
        <is>
          <t>Maastrichtian Conglomerate (Tokushima Mesozoic)</t>
        </is>
      </c>
      <c r="E25" s="5" t="inlineStr">
        <is>
          <t>Tokushima Mesozoic Sedimentary Basin</t>
        </is>
      </c>
      <c r="F25" s="6" t="inlineStr">
        <is>
          <t>Maastrichtian</t>
        </is>
      </c>
      <c r="G25" s="8" t="n">
        <v>66</v>
      </c>
      <c r="H25" s="9">
        <f>IF(OR($F25="",$G25=""),"",IFERROR((VLOOKUP($F25,intervals!$A:$C,2,FALSE)-$G25)/(VLOOKUP($F25,intervals!$A:$C,2,FALSE)-VLOOKUP($F25,intervals!$A:$C,3,FALSE)),""))</f>
        <v/>
      </c>
      <c r="I25" s="6" t="inlineStr">
        <is>
          <t>Campanian</t>
        </is>
      </c>
      <c r="J25" s="8" t="n">
        <v>83.59999999999999</v>
      </c>
      <c r="K25" s="9">
        <f>IF(OR($I25="",$J25=""),"",IFERROR((VLOOKUP($I25,intervals!$A:$C,2,FALSE)-$J25)/(VLOOKUP($I25,intervals!$A:$C,2,FALSE)-VLOOKUP($I25,intervals!$A:$C,3,FALSE)),""))</f>
        <v/>
      </c>
      <c r="L25" s="7" t="inlineStr">
        <is>
          <t>conglomerate</t>
        </is>
      </c>
      <c r="M25" s="5" t="inlineStr"/>
      <c r="N25" s="5" t="inlineStr">
        <is>
          <t>marine</t>
        </is>
      </c>
      <c r="O25" s="5" t="inlineStr">
        <is>
          <t>Mesozoic Late Cretaceous Campanian - Maastrichtian; marine conglomerate [Mesozoic Sedimentary Basin]</t>
        </is>
      </c>
      <c r="P25" s="5" t="inlineStr"/>
      <c r="Q25" s="5" t="inlineStr"/>
      <c r="R25" s="5" t="inlineStr">
        <is>
          <t>unknown</t>
        </is>
      </c>
      <c r="S25" s="5" t="inlineStr"/>
      <c r="T25" s="5" t="inlineStr">
        <is>
          <t>GSJ 200k Seamless K22_soc</t>
        </is>
      </c>
      <c r="U25" s="5" t="inlineStr"/>
      <c r="V25" s="10" t="inlineStr">
        <is>
          <t>K22_soc</t>
        </is>
      </c>
      <c r="W25" s="10" t="inlineStr">
        <is>
          <t>中生代 後期白亜紀 カンパニアン期〜マーストリヒチアン期</t>
        </is>
      </c>
      <c r="X25" s="10" t="inlineStr">
        <is>
          <t>Mesozoic Late Cretaceous Campanian - Maastrichtian</t>
        </is>
      </c>
      <c r="Y25" s="10" t="inlineStr">
        <is>
          <t>海成層 礫岩</t>
        </is>
      </c>
      <c r="Z25" s="10" t="inlineStr">
        <is>
          <t>marine conglomerate</t>
        </is>
      </c>
      <c r="AA25" s="10" t="inlineStr">
        <is>
          <t>堆積岩</t>
        </is>
      </c>
      <c r="AB25" s="10" t="inlineStr">
        <is>
          <t>Sedimentary rocks</t>
        </is>
      </c>
      <c r="AC25" s="10" t="inlineStr">
        <is>
          <t>Mesozoic Sedimentary Basin</t>
        </is>
      </c>
    </row>
    <row r="26">
      <c r="A26" s="5" t="inlineStr">
        <is>
          <t>m200k_NI-53-21_u025</t>
        </is>
      </c>
      <c r="B26" s="6" t="inlineStr">
        <is>
          <t>col_6</t>
        </is>
      </c>
      <c r="C26" s="6" t="n">
        <v>5</v>
      </c>
      <c r="D26" s="7" t="inlineStr">
        <is>
          <t>Maastrichtian Mudstone (Tokushima Mesozoic)</t>
        </is>
      </c>
      <c r="E26" s="5" t="inlineStr">
        <is>
          <t>Tokushima Mesozoic Sedimentary Basin</t>
        </is>
      </c>
      <c r="F26" s="6" t="inlineStr">
        <is>
          <t>Maastrichtian</t>
        </is>
      </c>
      <c r="G26" s="8" t="n">
        <v>66</v>
      </c>
      <c r="H26" s="9">
        <f>IF(OR($F26="",$G26=""),"",IFERROR((VLOOKUP($F26,intervals!$A:$C,2,FALSE)-$G26)/(VLOOKUP($F26,intervals!$A:$C,2,FALSE)-VLOOKUP($F26,intervals!$A:$C,3,FALSE)),""))</f>
        <v/>
      </c>
      <c r="I26" s="6" t="inlineStr">
        <is>
          <t>Campanian</t>
        </is>
      </c>
      <c r="J26" s="8" t="n">
        <v>83.59999999999999</v>
      </c>
      <c r="K26" s="9">
        <f>IF(OR($I26="",$J26=""),"",IFERROR((VLOOKUP($I26,intervals!$A:$C,2,FALSE)-$J26)/(VLOOKUP($I26,intervals!$A:$C,2,FALSE)-VLOOKUP($I26,intervals!$A:$C,3,FALSE)),""))</f>
        <v/>
      </c>
      <c r="L26" s="7" t="inlineStr">
        <is>
          <t>mudstone</t>
        </is>
      </c>
      <c r="M26" s="5" t="inlineStr"/>
      <c r="N26" s="5" t="inlineStr">
        <is>
          <t>marine</t>
        </is>
      </c>
      <c r="O26" s="5" t="inlineStr">
        <is>
          <t>Mesozoic Late Cretaceous Campanian - Maastrichtian; marine mudstone [Mesozoic Sedimentary Basin]</t>
        </is>
      </c>
      <c r="P26" s="5" t="inlineStr"/>
      <c r="Q26" s="5" t="inlineStr"/>
      <c r="R26" s="5" t="inlineStr">
        <is>
          <t>unknown</t>
        </is>
      </c>
      <c r="S26" s="5" t="inlineStr"/>
      <c r="T26" s="5" t="inlineStr">
        <is>
          <t>GSJ 200k Seamless K22_som</t>
        </is>
      </c>
      <c r="U26" s="5" t="inlineStr"/>
      <c r="V26" s="10" t="inlineStr">
        <is>
          <t>K22_som</t>
        </is>
      </c>
      <c r="W26" s="10" t="inlineStr">
        <is>
          <t>中生代 後期白亜紀 カンパニアン期〜マーストリヒチアン期</t>
        </is>
      </c>
      <c r="X26" s="10" t="inlineStr">
        <is>
          <t>Mesozoic Late Cretaceous Campanian - Maastrichtian</t>
        </is>
      </c>
      <c r="Y26" s="10" t="inlineStr">
        <is>
          <t>海成層 泥岩</t>
        </is>
      </c>
      <c r="Z26" s="10" t="inlineStr">
        <is>
          <t>marine mudstone</t>
        </is>
      </c>
      <c r="AA26" s="10" t="inlineStr">
        <is>
          <t>堆積岩</t>
        </is>
      </c>
      <c r="AB26" s="10" t="inlineStr">
        <is>
          <t>Sedimentary rocks</t>
        </is>
      </c>
      <c r="AC26" s="10" t="inlineStr">
        <is>
          <t>Mesozoic Sedimentary Basin</t>
        </is>
      </c>
    </row>
    <row r="27">
      <c r="A27" s="5" t="inlineStr">
        <is>
          <t>m200k_NI-53-21_u026</t>
        </is>
      </c>
      <c r="B27" s="6" t="inlineStr">
        <is>
          <t>col_6</t>
        </is>
      </c>
      <c r="C27" s="6" t="n">
        <v>6</v>
      </c>
      <c r="D27" s="7" t="inlineStr">
        <is>
          <t>Maastrichtian Sandstone (Tokushima Mesozoic)</t>
        </is>
      </c>
      <c r="E27" s="5" t="inlineStr">
        <is>
          <t>Tokushima Mesozoic Sedimentary Basin</t>
        </is>
      </c>
      <c r="F27" s="6" t="inlineStr">
        <is>
          <t>Maastrichtian</t>
        </is>
      </c>
      <c r="G27" s="8" t="n">
        <v>66</v>
      </c>
      <c r="H27" s="9">
        <f>IF(OR($F27="",$G27=""),"",IFERROR((VLOOKUP($F27,intervals!$A:$C,2,FALSE)-$G27)/(VLOOKUP($F27,intervals!$A:$C,2,FALSE)-VLOOKUP($F27,intervals!$A:$C,3,FALSE)),""))</f>
        <v/>
      </c>
      <c r="I27" s="6" t="inlineStr">
        <is>
          <t>Campanian</t>
        </is>
      </c>
      <c r="J27" s="8" t="n">
        <v>83.59999999999999</v>
      </c>
      <c r="K27" s="9">
        <f>IF(OR($I27="",$J27=""),"",IFERROR((VLOOKUP($I27,intervals!$A:$C,2,FALSE)-$J27)/(VLOOKUP($I27,intervals!$A:$C,2,FALSE)-VLOOKUP($I27,intervals!$A:$C,3,FALSE)),""))</f>
        <v/>
      </c>
      <c r="L27" s="7" t="inlineStr">
        <is>
          <t>sandstone</t>
        </is>
      </c>
      <c r="M27" s="5" t="inlineStr">
        <is>
          <t>mudstone</t>
        </is>
      </c>
      <c r="N27" s="5" t="inlineStr">
        <is>
          <t>marine</t>
        </is>
      </c>
      <c r="O27" s="5" t="inlineStr">
        <is>
          <t>Mesozoic Late Cretaceous Campanian - Maastrichtian; marine alternation of sandstone &amp; mudstone [Mesozoic Sedimentary Basin]</t>
        </is>
      </c>
      <c r="P27" s="5" t="inlineStr"/>
      <c r="Q27" s="5" t="inlineStr"/>
      <c r="R27" s="5" t="inlineStr">
        <is>
          <t>unknown</t>
        </is>
      </c>
      <c r="S27" s="5" t="inlineStr"/>
      <c r="T27" s="5" t="inlineStr">
        <is>
          <t>GSJ 200k Seamless K22_sosma</t>
        </is>
      </c>
      <c r="U27" s="5" t="inlineStr"/>
      <c r="V27" s="10" t="inlineStr">
        <is>
          <t>K22_sosma</t>
        </is>
      </c>
      <c r="W27" s="10" t="inlineStr">
        <is>
          <t>中生代 後期白亜紀 カンパニアン期〜マーストリヒチアン期</t>
        </is>
      </c>
      <c r="X27" s="10" t="inlineStr">
        <is>
          <t>Mesozoic Late Cretaceous Campanian - Maastrichtian</t>
        </is>
      </c>
      <c r="Y27" s="10" t="inlineStr">
        <is>
          <t>海成層 砂岩泥岩互層</t>
        </is>
      </c>
      <c r="Z27" s="10" t="inlineStr">
        <is>
          <t>marine alternation of sandstone &amp; mudstone</t>
        </is>
      </c>
      <c r="AA27" s="10" t="inlineStr">
        <is>
          <t>堆積岩</t>
        </is>
      </c>
      <c r="AB27" s="10" t="inlineStr">
        <is>
          <t>Sedimentary rocks</t>
        </is>
      </c>
      <c r="AC27" s="10" t="inlineStr">
        <is>
          <t>Mesozoic Sedimentary Basin</t>
        </is>
      </c>
    </row>
    <row r="28">
      <c r="A28" s="5" t="inlineStr">
        <is>
          <t>m200k_NI-53-21_u027</t>
        </is>
      </c>
      <c r="B28" s="6" t="inlineStr">
        <is>
          <t>col_7</t>
        </is>
      </c>
      <c r="C28" s="6" t="n">
        <v>1</v>
      </c>
      <c r="D28" s="7" t="inlineStr">
        <is>
          <t>Pliocene Sandstone (Tokushima Neogene)</t>
        </is>
      </c>
      <c r="E28" s="5" t="inlineStr">
        <is>
          <t>Tokushima Neogene Sedimentary Basin</t>
        </is>
      </c>
      <c r="F28" s="6" t="inlineStr">
        <is>
          <t>Pliocene</t>
        </is>
      </c>
      <c r="G28" s="8" t="n">
        <v>2.58</v>
      </c>
      <c r="H28" s="9">
        <f>IF(OR($F28="",$G28=""),"",IFERROR((VLOOKUP($F28,intervals!$A:$C,2,FALSE)-$G28)/(VLOOKUP($F28,intervals!$A:$C,2,FALSE)-VLOOKUP($F28,intervals!$A:$C,3,FALSE)),""))</f>
        <v/>
      </c>
      <c r="I28" s="6" t="inlineStr">
        <is>
          <t>Messinian</t>
        </is>
      </c>
      <c r="J28" s="8" t="n">
        <v>7.246</v>
      </c>
      <c r="K28" s="9">
        <f>IF(OR($I28="",$J28=""),"",IFERROR((VLOOKUP($I28,intervals!$A:$C,2,FALSE)-$J28)/(VLOOKUP($I28,intervals!$A:$C,2,FALSE)-VLOOKUP($I28,intervals!$A:$C,3,FALSE)),""))</f>
        <v/>
      </c>
      <c r="L28" s="7" t="inlineStr">
        <is>
          <t>sandstone</t>
        </is>
      </c>
      <c r="M28" s="5" t="inlineStr">
        <is>
          <t>mudstone</t>
        </is>
      </c>
      <c r="N28" s="5" t="inlineStr">
        <is>
          <t>marine</t>
        </is>
      </c>
      <c r="O28" s="5" t="inlineStr">
        <is>
          <t>Cenozoic Neogene Miocene Messinian - Pliocene; non-marine sandstone, or alternation of sandstone &amp; mudstone or sandstone &amp; mudstone [Neogene Sedimentary Basin]</t>
        </is>
      </c>
      <c r="P28" s="5" t="inlineStr"/>
      <c r="Q28" s="5" t="inlineStr"/>
      <c r="R28" s="5" t="inlineStr">
        <is>
          <t>unknown</t>
        </is>
      </c>
      <c r="S28" s="5" t="inlineStr"/>
      <c r="T28" s="5" t="inlineStr">
        <is>
          <t>GSJ 200k Seamless N3_sns</t>
        </is>
      </c>
      <c r="U28" s="5" t="inlineStr"/>
      <c r="V28" s="10" t="inlineStr">
        <is>
          <t>N3_sns</t>
        </is>
      </c>
      <c r="W28" s="10" t="inlineStr">
        <is>
          <t>新生代 新第三紀 中新世 メッシニアン期〜鮮新世</t>
        </is>
      </c>
      <c r="X28" s="10" t="inlineStr">
        <is>
          <t>Cenozoic Neogene Miocene Messinian - Pliocene</t>
        </is>
      </c>
      <c r="Y28" s="10" t="inlineStr">
        <is>
          <t>非海成層 砂岩，砂岩泥岩互層ないし砂岩・泥岩</t>
        </is>
      </c>
      <c r="Z28" s="10" t="inlineStr">
        <is>
          <t>non-marine sandstone, or alternation of sandstone &amp; mudstone or sandstone &amp; mudstone</t>
        </is>
      </c>
      <c r="AA28" s="10" t="inlineStr">
        <is>
          <t>堆積岩</t>
        </is>
      </c>
      <c r="AB28" s="10" t="inlineStr">
        <is>
          <t>Sedimentary rocks</t>
        </is>
      </c>
      <c r="AC28" s="10" t="inlineStr">
        <is>
          <t>Neogene Sedimentary Basin</t>
        </is>
      </c>
    </row>
    <row r="29">
      <c r="A29" s="5" t="inlineStr">
        <is>
          <t>m200k_NI-53-21_u028</t>
        </is>
      </c>
      <c r="B29" s="6" t="inlineStr">
        <is>
          <t>col_7</t>
        </is>
      </c>
      <c r="C29" s="6" t="n">
        <v>2</v>
      </c>
      <c r="D29" s="7" t="inlineStr">
        <is>
          <t>Pliocene Conglomerate (Tokushima Neogene)</t>
        </is>
      </c>
      <c r="E29" s="5" t="inlineStr">
        <is>
          <t>Tokushima Neogene Sedimentary Basin</t>
        </is>
      </c>
      <c r="F29" s="6" t="inlineStr">
        <is>
          <t>Pliocene</t>
        </is>
      </c>
      <c r="G29" s="8" t="n">
        <v>2.58</v>
      </c>
      <c r="H29" s="9">
        <f>IF(OR($F29="",$G29=""),"",IFERROR((VLOOKUP($F29,intervals!$A:$C,2,FALSE)-$G29)/(VLOOKUP($F29,intervals!$A:$C,2,FALSE)-VLOOKUP($F29,intervals!$A:$C,3,FALSE)),""))</f>
        <v/>
      </c>
      <c r="I29" s="6" t="inlineStr">
        <is>
          <t>Messinian</t>
        </is>
      </c>
      <c r="J29" s="8" t="n">
        <v>7.246</v>
      </c>
      <c r="K29" s="9">
        <f>IF(OR($I29="",$J29=""),"",IFERROR((VLOOKUP($I29,intervals!$A:$C,2,FALSE)-$J29)/(VLOOKUP($I29,intervals!$A:$C,2,FALSE)-VLOOKUP($I29,intervals!$A:$C,3,FALSE)),""))</f>
        <v/>
      </c>
      <c r="L29" s="7" t="inlineStr">
        <is>
          <t>conglomerate</t>
        </is>
      </c>
      <c r="M29" s="5" t="inlineStr"/>
      <c r="N29" s="5" t="inlineStr">
        <is>
          <t>marine</t>
        </is>
      </c>
      <c r="O29" s="5" t="inlineStr">
        <is>
          <t>Cenozoic Neogene Miocene Messinian - Pliocene; non-marine conglomerate [Neogene Sedimentary Basin]</t>
        </is>
      </c>
      <c r="P29" s="5" t="inlineStr"/>
      <c r="Q29" s="5" t="inlineStr"/>
      <c r="R29" s="5" t="inlineStr">
        <is>
          <t>unknown</t>
        </is>
      </c>
      <c r="S29" s="5" t="inlineStr"/>
      <c r="T29" s="5" t="inlineStr">
        <is>
          <t>GSJ 200k Seamless N3_snc</t>
        </is>
      </c>
      <c r="U29" s="5" t="inlineStr"/>
      <c r="V29" s="10" t="inlineStr">
        <is>
          <t>N3_snc</t>
        </is>
      </c>
      <c r="W29" s="10" t="inlineStr">
        <is>
          <t>新生代 新第三紀 中新世 メッシニアン期〜鮮新世</t>
        </is>
      </c>
      <c r="X29" s="10" t="inlineStr">
        <is>
          <t>Cenozoic Neogene Miocene Messinian - Pliocene</t>
        </is>
      </c>
      <c r="Y29" s="10" t="inlineStr">
        <is>
          <t>非海成層 礫岩</t>
        </is>
      </c>
      <c r="Z29" s="10" t="inlineStr">
        <is>
          <t>non-marine conglomerate</t>
        </is>
      </c>
      <c r="AA29" s="10" t="inlineStr">
        <is>
          <t>堆積岩</t>
        </is>
      </c>
      <c r="AB29" s="10" t="inlineStr">
        <is>
          <t>Sedimentary rocks</t>
        </is>
      </c>
      <c r="AC29" s="10" t="inlineStr">
        <is>
          <t>Neogene Sedimentary Basin</t>
        </is>
      </c>
    </row>
    <row r="30">
      <c r="A30" s="5" t="inlineStr">
        <is>
          <t>m200k_NI-53-21_u031</t>
        </is>
      </c>
      <c r="B30" s="6" t="inlineStr">
        <is>
          <t>col_8</t>
        </is>
      </c>
      <c r="C30" s="6" t="n">
        <v>1</v>
      </c>
      <c r="D30" s="7" t="inlineStr">
        <is>
          <t>Selandian Gneiss (Tokushima Metamorphic)</t>
        </is>
      </c>
      <c r="E30" s="5" t="inlineStr">
        <is>
          <t>Tokushima Metamorphic Belt</t>
        </is>
      </c>
      <c r="F30" s="6" t="inlineStr">
        <is>
          <t>Selandian</t>
        </is>
      </c>
      <c r="G30" s="8" t="n">
        <v>59.24</v>
      </c>
      <c r="H30" s="9">
        <f>IF(OR($F30="",$G30=""),"",IFERROR((VLOOKUP($F30,intervals!$A:$C,2,FALSE)-$G30)/(VLOOKUP($F30,intervals!$A:$C,2,FALSE)-VLOOKUP($F30,intervals!$A:$C,3,FALSE)),""))</f>
        <v/>
      </c>
      <c r="I30" s="6" t="inlineStr">
        <is>
          <t>Cretaceous</t>
        </is>
      </c>
      <c r="J30" s="8" t="n">
        <v>143.1</v>
      </c>
      <c r="K30" s="9">
        <f>IF(OR($I30="",$J30=""),"",IFERROR((VLOOKUP($I30,intervals!$A:$C,2,FALSE)-$J30)/(VLOOKUP($I30,intervals!$A:$C,2,FALSE)-VLOOKUP($I30,intervals!$A:$C,3,FALSE)),""))</f>
        <v/>
      </c>
      <c r="L30" s="7" t="inlineStr">
        <is>
          <t>gneiss</t>
        </is>
      </c>
      <c r="M30" s="5" t="inlineStr">
        <is>
          <t>migmatite</t>
        </is>
      </c>
      <c r="N30" s="5" t="inlineStr">
        <is>
          <t>metamorphic</t>
        </is>
      </c>
      <c r="O30" s="5" t="inlineStr">
        <is>
          <t>Mesozoic Late Cretaceous - Cenozoic Paleogene Paleocene Selandian; pelitic gneiss &amp; migmatite garnet-cordierite zone of low P/T regional metamorphic rocks [Metamorphic Belt]</t>
        </is>
      </c>
      <c r="P30" s="5" t="inlineStr"/>
      <c r="Q30" s="5" t="inlineStr"/>
      <c r="R30" s="5" t="inlineStr">
        <is>
          <t>unknown</t>
        </is>
      </c>
      <c r="S30" s="5" t="inlineStr"/>
      <c r="T30" s="5" t="inlineStr">
        <is>
          <t>GSJ 200k Seamless K2-Pg12_mgmpe_lgc</t>
        </is>
      </c>
      <c r="U30" s="5" t="inlineStr"/>
      <c r="V30" s="10" t="inlineStr">
        <is>
          <t>K2-Pg12_mgmpe_lgc</t>
        </is>
      </c>
      <c r="W30" s="10" t="inlineStr">
        <is>
          <t>中生代 後期白亜紀〜新生代 古第三紀 暁新世 セランディアン期</t>
        </is>
      </c>
      <c r="X30" s="10" t="inlineStr">
        <is>
          <t>Mesozoic Late Cretaceous - Cenozoic Paleogene Paleocene Selandian</t>
        </is>
      </c>
      <c r="Y30" s="10" t="inlineStr">
        <is>
          <t>泥質片麻岩・泥質ミグマタイト 低P/T型広域変成岩　ざくろ石菫青石帯</t>
        </is>
      </c>
      <c r="Z30" s="10" t="inlineStr">
        <is>
          <t>pelitic gneiss &amp; migmatite garnet-cordierite zone of low P/T regional metamorphic rocks</t>
        </is>
      </c>
      <c r="AA30" s="10" t="inlineStr">
        <is>
          <t>変成岩</t>
        </is>
      </c>
      <c r="AB30" s="10" t="inlineStr">
        <is>
          <t>Metamorphic rocks</t>
        </is>
      </c>
      <c r="AC30" s="10" t="inlineStr">
        <is>
          <t>Metamorphic Belt</t>
        </is>
      </c>
    </row>
    <row r="31">
      <c r="A31" s="5" t="inlineStr">
        <is>
          <t>m200k_NI-53-21_u032</t>
        </is>
      </c>
      <c r="B31" s="6" t="inlineStr">
        <is>
          <t>col_8</t>
        </is>
      </c>
      <c r="C31" s="6" t="n">
        <v>2</v>
      </c>
      <c r="D31" s="7" t="inlineStr">
        <is>
          <t>Selandian Gneiss (Tokushima Metamorphic)</t>
        </is>
      </c>
      <c r="E31" s="5" t="inlineStr">
        <is>
          <t>Tokushima Metamorphic Belt</t>
        </is>
      </c>
      <c r="F31" s="6" t="inlineStr">
        <is>
          <t>Selandian</t>
        </is>
      </c>
      <c r="G31" s="8" t="n">
        <v>59.24</v>
      </c>
      <c r="H31" s="9">
        <f>IF(OR($F31="",$G31=""),"",IFERROR((VLOOKUP($F31,intervals!$A:$C,2,FALSE)-$G31)/(VLOOKUP($F31,intervals!$A:$C,2,FALSE)-VLOOKUP($F31,intervals!$A:$C,3,FALSE)),""))</f>
        <v/>
      </c>
      <c r="I31" s="6" t="inlineStr">
        <is>
          <t>Cretaceous</t>
        </is>
      </c>
      <c r="J31" s="8" t="n">
        <v>143.1</v>
      </c>
      <c r="K31" s="9">
        <f>IF(OR($I31="",$J31=""),"",IFERROR((VLOOKUP($I31,intervals!$A:$C,2,FALSE)-$J31)/(VLOOKUP($I31,intervals!$A:$C,2,FALSE)-VLOOKUP($I31,intervals!$A:$C,3,FALSE)),""))</f>
        <v/>
      </c>
      <c r="L31" s="7" t="inlineStr">
        <is>
          <t>gneiss</t>
        </is>
      </c>
      <c r="M31" s="5" t="inlineStr">
        <is>
          <t>migmatite</t>
        </is>
      </c>
      <c r="N31" s="5" t="inlineStr">
        <is>
          <t>metamorphic</t>
        </is>
      </c>
      <c r="O31" s="5" t="inlineStr">
        <is>
          <t>Mesozoic Late Cretaceous - Cenozoic Paleogene Paleocene Selandian; pelitic gneiss &amp; migmatite sillmanite-Kfeldspar zone of low P/T regional metamorphic rocks [Metamorphic Belt]</t>
        </is>
      </c>
      <c r="P31" s="5" t="inlineStr"/>
      <c r="Q31" s="5" t="inlineStr"/>
      <c r="R31" s="5" t="inlineStr">
        <is>
          <t>unknown</t>
        </is>
      </c>
      <c r="S31" s="5" t="inlineStr"/>
      <c r="T31" s="5" t="inlineStr">
        <is>
          <t>GSJ 200k Seamless K2-Pg12_mgmpe_lks</t>
        </is>
      </c>
      <c r="U31" s="5" t="inlineStr"/>
      <c r="V31" s="10" t="inlineStr">
        <is>
          <t>K2-Pg12_mgmpe_lks</t>
        </is>
      </c>
      <c r="W31" s="10" t="inlineStr">
        <is>
          <t>中生代 後期白亜紀〜新生代 古第三紀 暁新世 セランディアン期</t>
        </is>
      </c>
      <c r="X31" s="10" t="inlineStr">
        <is>
          <t>Mesozoic Late Cretaceous - Cenozoic Paleogene Paleocene Selandian</t>
        </is>
      </c>
      <c r="Y31" s="10" t="inlineStr">
        <is>
          <t>泥質片麻岩・泥質ミグマタイト 低P/T型広域変成岩　珪線石カリ長石帯</t>
        </is>
      </c>
      <c r="Z31" s="10" t="inlineStr">
        <is>
          <t>pelitic gneiss &amp; migmatite sillmanite-Kfeldspar zone of low P/T regional metamorphic rocks</t>
        </is>
      </c>
      <c r="AA31" s="10" t="inlineStr">
        <is>
          <t>変成岩</t>
        </is>
      </c>
      <c r="AB31" s="10" t="inlineStr">
        <is>
          <t>Metamorphic rocks</t>
        </is>
      </c>
      <c r="AC31" s="10" t="inlineStr">
        <is>
          <t>Metamorphic Belt</t>
        </is>
      </c>
    </row>
    <row r="32">
      <c r="A32" s="5" t="inlineStr">
        <is>
          <t>m200k_NI-53-21_u033</t>
        </is>
      </c>
      <c r="B32" s="6" t="inlineStr">
        <is>
          <t>col_8</t>
        </is>
      </c>
      <c r="C32" s="6" t="n">
        <v>3</v>
      </c>
      <c r="D32" s="7" t="inlineStr">
        <is>
          <t>Selandian Gneiss (Tokushima Metamorphic)</t>
        </is>
      </c>
      <c r="E32" s="5" t="inlineStr">
        <is>
          <t>Tokushima Metamorphic Belt</t>
        </is>
      </c>
      <c r="F32" s="6" t="inlineStr">
        <is>
          <t>Selandian</t>
        </is>
      </c>
      <c r="G32" s="8" t="n">
        <v>59.24</v>
      </c>
      <c r="H32" s="9">
        <f>IF(OR($F32="",$G32=""),"",IFERROR((VLOOKUP($F32,intervals!$A:$C,2,FALSE)-$G32)/(VLOOKUP($F32,intervals!$A:$C,2,FALSE)-VLOOKUP($F32,intervals!$A:$C,3,FALSE)),""))</f>
        <v/>
      </c>
      <c r="I32" s="6" t="inlineStr">
        <is>
          <t>Cretaceous</t>
        </is>
      </c>
      <c r="J32" s="8" t="n">
        <v>143.1</v>
      </c>
      <c r="K32" s="9">
        <f>IF(OR($I32="",$J32=""),"",IFERROR((VLOOKUP($I32,intervals!$A:$C,2,FALSE)-$J32)/(VLOOKUP($I32,intervals!$A:$C,2,FALSE)-VLOOKUP($I32,intervals!$A:$C,3,FALSE)),""))</f>
        <v/>
      </c>
      <c r="L32" s="7" t="inlineStr">
        <is>
          <t>gneiss</t>
        </is>
      </c>
      <c r="M32" s="5" t="inlineStr">
        <is>
          <t>metamorphic</t>
        </is>
      </c>
      <c r="N32" s="5" t="inlineStr">
        <is>
          <t>metamorphic</t>
        </is>
      </c>
      <c r="O32" s="5" t="inlineStr">
        <is>
          <t>Mesozoic Late Cretaceous - Cenozoic Paleogene Paleocene Selandian; felsic gneiss sillmanite-Kfeldspar zone of low P/T regional metamorphic rocks [Metamorphic Belt]</t>
        </is>
      </c>
      <c r="P32" s="5" t="inlineStr"/>
      <c r="Q32" s="5" t="inlineStr"/>
      <c r="R32" s="5" t="inlineStr">
        <is>
          <t>unknown</t>
        </is>
      </c>
      <c r="S32" s="5" t="inlineStr"/>
      <c r="T32" s="5" t="inlineStr">
        <is>
          <t>GSJ 200k Seamless K2-Pg12_mgnfe_lks</t>
        </is>
      </c>
      <c r="U32" s="5" t="inlineStr"/>
      <c r="V32" s="10" t="inlineStr">
        <is>
          <t>K2-Pg12_mgnfe_lks</t>
        </is>
      </c>
      <c r="W32" s="10" t="inlineStr">
        <is>
          <t>中生代 後期白亜紀〜新生代 古第三紀 暁新世 セランディアン期</t>
        </is>
      </c>
      <c r="X32" s="10" t="inlineStr">
        <is>
          <t>Mesozoic Late Cretaceous - Cenozoic Paleogene Paleocene Selandian</t>
        </is>
      </c>
      <c r="Y32" s="10" t="inlineStr">
        <is>
          <t>珪長質片麻岩 低P/T型広域変成岩　珪線石カリ長石帯</t>
        </is>
      </c>
      <c r="Z32" s="10" t="inlineStr">
        <is>
          <t>felsic gneiss sillmanite-Kfeldspar zone of low P/T regional metamorphic rocks</t>
        </is>
      </c>
      <c r="AA32" s="10" t="inlineStr">
        <is>
          <t>変成岩</t>
        </is>
      </c>
      <c r="AB32" s="10" t="inlineStr">
        <is>
          <t>Metamorphic rocks</t>
        </is>
      </c>
      <c r="AC32" s="10" t="inlineStr">
        <is>
          <t>Metamorphic Belt</t>
        </is>
      </c>
    </row>
    <row r="33">
      <c r="A33" s="5" t="inlineStr">
        <is>
          <t>m200k_NI-53-21_u029</t>
        </is>
      </c>
      <c r="B33" s="6" t="inlineStr">
        <is>
          <t>col_8</t>
        </is>
      </c>
      <c r="C33" s="6" t="n">
        <v>4</v>
      </c>
      <c r="D33" s="7" t="inlineStr">
        <is>
          <t>Santonian Granite (Tokushima Metamorphic)</t>
        </is>
      </c>
      <c r="E33" s="5" t="inlineStr">
        <is>
          <t>Tokushima Metamorphic Belt</t>
        </is>
      </c>
      <c r="F33" s="6" t="inlineStr">
        <is>
          <t>Santonian</t>
        </is>
      </c>
      <c r="G33" s="8" t="n">
        <v>83.59999999999999</v>
      </c>
      <c r="H33" s="9">
        <f>IF(OR($F33="",$G33=""),"",IFERROR((VLOOKUP($F33,intervals!$A:$C,2,FALSE)-$G33)/(VLOOKUP($F33,intervals!$A:$C,2,FALSE)-VLOOKUP($F33,intervals!$A:$C,3,FALSE)),""))</f>
        <v/>
      </c>
      <c r="I33" s="6" t="inlineStr">
        <is>
          <t>Cenomanian</t>
        </is>
      </c>
      <c r="J33" s="8" t="n">
        <v>100.5</v>
      </c>
      <c r="K33" s="9">
        <f>IF(OR($I33="",$J33=""),"",IFERROR((VLOOKUP($I33,intervals!$A:$C,2,FALSE)-$J33)/(VLOOKUP($I33,intervals!$A:$C,2,FALSE)-VLOOKUP($I33,intervals!$A:$C,3,FALSE)),""))</f>
        <v/>
      </c>
      <c r="L33" s="7" t="inlineStr">
        <is>
          <t>granite</t>
        </is>
      </c>
      <c r="M33" s="5" t="inlineStr"/>
      <c r="N33" s="5" t="inlineStr">
        <is>
          <t>plutonic</t>
        </is>
      </c>
      <c r="O33" s="5" t="inlineStr">
        <is>
          <t>Mesozoic Late Cretaceous Cenomanian - Santonian; gneissose granite island arc &amp; continental [Metamorphic Belt]</t>
        </is>
      </c>
      <c r="P33" s="5" t="inlineStr"/>
      <c r="Q33" s="5" t="inlineStr"/>
      <c r="R33" s="5" t="inlineStr">
        <is>
          <t>unknown</t>
        </is>
      </c>
      <c r="S33" s="5" t="inlineStr"/>
      <c r="T33" s="5" t="inlineStr">
        <is>
          <t>GSJ 200k Seamless K21_pan_a</t>
        </is>
      </c>
      <c r="U33" s="5" t="inlineStr"/>
      <c r="V33" s="10" t="inlineStr">
        <is>
          <t>K21_pan_a</t>
        </is>
      </c>
      <c r="W33" s="10" t="inlineStr">
        <is>
          <t>中生代 後期白亜紀 セノマニアン期〜サントニアン期</t>
        </is>
      </c>
      <c r="X33" s="10" t="inlineStr">
        <is>
          <t>Mesozoic Late Cretaceous Cenomanian - Santonian</t>
        </is>
      </c>
      <c r="Y33" s="10" t="inlineStr">
        <is>
          <t>花崗岩 片麻状 島弧・大陸</t>
        </is>
      </c>
      <c r="Z33" s="10" t="inlineStr">
        <is>
          <t>gneissose granite island arc &amp; continental</t>
        </is>
      </c>
      <c r="AA33" s="10" t="inlineStr">
        <is>
          <t>火成岩</t>
        </is>
      </c>
      <c r="AB33" s="10" t="inlineStr">
        <is>
          <t>Igneous rocks</t>
        </is>
      </c>
      <c r="AC33" s="10" t="inlineStr">
        <is>
          <t>Metamorphic Belt</t>
        </is>
      </c>
    </row>
    <row r="34">
      <c r="A34" s="5" t="inlineStr">
        <is>
          <t>m200k_NI-53-21_u030</t>
        </is>
      </c>
      <c r="B34" s="6" t="inlineStr">
        <is>
          <t>col_8</t>
        </is>
      </c>
      <c r="C34" s="6" t="n">
        <v>5</v>
      </c>
      <c r="D34" s="7" t="inlineStr">
        <is>
          <t>Santonian Tonalite (Tokushima Metamorphic)</t>
        </is>
      </c>
      <c r="E34" s="5" t="inlineStr">
        <is>
          <t>Tokushima Metamorphic Belt</t>
        </is>
      </c>
      <c r="F34" s="6" t="inlineStr">
        <is>
          <t>Santonian</t>
        </is>
      </c>
      <c r="G34" s="8" t="n">
        <v>83.59999999999999</v>
      </c>
      <c r="H34" s="9">
        <f>IF(OR($F34="",$G34=""),"",IFERROR((VLOOKUP($F34,intervals!$A:$C,2,FALSE)-$G34)/(VLOOKUP($F34,intervals!$A:$C,2,FALSE)-VLOOKUP($F34,intervals!$A:$C,3,FALSE)),""))</f>
        <v/>
      </c>
      <c r="I34" s="6" t="inlineStr">
        <is>
          <t>Cenomanian</t>
        </is>
      </c>
      <c r="J34" s="8" t="n">
        <v>100.5</v>
      </c>
      <c r="K34" s="9">
        <f>IF(OR($I34="",$J34=""),"",IFERROR((VLOOKUP($I34,intervals!$A:$C,2,FALSE)-$J34)/(VLOOKUP($I34,intervals!$A:$C,2,FALSE)-VLOOKUP($I34,intervals!$A:$C,3,FALSE)),""))</f>
        <v/>
      </c>
      <c r="L34" s="7" t="inlineStr">
        <is>
          <t>tonalite</t>
        </is>
      </c>
      <c r="M34" s="5" t="inlineStr"/>
      <c r="N34" s="5" t="inlineStr">
        <is>
          <t>metamorphic</t>
        </is>
      </c>
      <c r="O34" s="5" t="inlineStr">
        <is>
          <t>Mesozoic Late Cretaceous Cenomanian - Santonian; gneissose granodiolite &amp; tonalite island arc &amp; continental [Metamorphic Belt]</t>
        </is>
      </c>
      <c r="P34" s="5" t="inlineStr"/>
      <c r="Q34" s="5" t="inlineStr"/>
      <c r="R34" s="5" t="inlineStr">
        <is>
          <t>unknown</t>
        </is>
      </c>
      <c r="S34" s="5" t="inlineStr"/>
      <c r="T34" s="5" t="inlineStr">
        <is>
          <t>GSJ 200k Seamless K21_pin_a</t>
        </is>
      </c>
      <c r="U34" s="5" t="inlineStr"/>
      <c r="V34" s="10" t="inlineStr">
        <is>
          <t>K21_pin_a</t>
        </is>
      </c>
      <c r="W34" s="10" t="inlineStr">
        <is>
          <t>中生代 後期白亜紀 セノマニアン期〜サントニアン期</t>
        </is>
      </c>
      <c r="X34" s="10" t="inlineStr">
        <is>
          <t>Mesozoic Late Cretaceous Cenomanian - Santonian</t>
        </is>
      </c>
      <c r="Y34" s="10" t="inlineStr">
        <is>
          <t>花崗閃緑岩・トーナル岩 片麻状 島弧・大陸</t>
        </is>
      </c>
      <c r="Z34" s="10" t="inlineStr">
        <is>
          <t>gneissose granodiolite &amp; tonalite island arc &amp; continental</t>
        </is>
      </c>
      <c r="AA34" s="10" t="inlineStr">
        <is>
          <t>火成岩</t>
        </is>
      </c>
      <c r="AB34" s="10" t="inlineStr">
        <is>
          <t>Igneous rocks</t>
        </is>
      </c>
      <c r="AC34" s="10" t="inlineStr">
        <is>
          <t>Metamorphic Belt</t>
        </is>
      </c>
    </row>
    <row r="35">
      <c r="A35" s="5" t="inlineStr">
        <is>
          <t>m200k_NI-53-21_u034</t>
        </is>
      </c>
      <c r="B35" s="6" t="inlineStr">
        <is>
          <t>col_8</t>
        </is>
      </c>
      <c r="C35" s="6" t="n">
        <v>6</v>
      </c>
      <c r="D35" s="7" t="inlineStr">
        <is>
          <t>Selandian Mafic (Tokushima Metamorphic)</t>
        </is>
      </c>
      <c r="E35" s="5" t="inlineStr">
        <is>
          <t>Tokushima Metamorphic Belt</t>
        </is>
      </c>
      <c r="F35" s="6" t="inlineStr">
        <is>
          <t>Selandian</t>
        </is>
      </c>
      <c r="G35" s="8" t="n">
        <v>59.24</v>
      </c>
      <c r="H35" s="9">
        <f>IF(OR($F35="",$G35=""),"",IFERROR((VLOOKUP($F35,intervals!$A:$C,2,FALSE)-$G35)/(VLOOKUP($F35,intervals!$A:$C,2,FALSE)-VLOOKUP($F35,intervals!$A:$C,3,FALSE)),""))</f>
        <v/>
      </c>
      <c r="I35" s="6" t="inlineStr">
        <is>
          <t>Albian</t>
        </is>
      </c>
      <c r="J35" s="8" t="n">
        <v>113.2</v>
      </c>
      <c r="K35" s="9">
        <f>IF(OR($I35="",$J35=""),"",IFERROR((VLOOKUP($I35,intervals!$A:$C,2,FALSE)-$J35)/(VLOOKUP($I35,intervals!$A:$C,2,FALSE)-VLOOKUP($I35,intervals!$A:$C,3,FALSE)),""))</f>
        <v/>
      </c>
      <c r="L35" s="7" t="inlineStr">
        <is>
          <t>mafic</t>
        </is>
      </c>
      <c r="M35" s="5" t="inlineStr">
        <is>
          <t>schist</t>
        </is>
      </c>
      <c r="N35" s="5" t="inlineStr">
        <is>
          <t>metamorphic</t>
        </is>
      </c>
      <c r="O35" s="5" t="inlineStr">
        <is>
          <t>Mesozoic Early Cretaceous Albian - Cenozoic Paleogene Paleocene Selandian; mafic schist albite-biotite zone of high P/T regional metamorphic rocks [Metamorphic Belt]</t>
        </is>
      </c>
      <c r="P35" s="5" t="inlineStr"/>
      <c r="Q35" s="5" t="inlineStr"/>
      <c r="R35" s="5" t="inlineStr">
        <is>
          <t>unknown</t>
        </is>
      </c>
      <c r="S35" s="5" t="inlineStr"/>
      <c r="T35" s="5" t="inlineStr">
        <is>
          <t>GSJ 200k Seamless K122-Pg12_mscma_hab</t>
        </is>
      </c>
      <c r="U35" s="5" t="inlineStr"/>
      <c r="V35" s="10" t="inlineStr">
        <is>
          <t>K122-Pg12_mscma_hab</t>
        </is>
      </c>
      <c r="W35" s="10" t="inlineStr">
        <is>
          <t>中生代 前期白亜紀 アルビアン期〜新生代 古第三紀 暁新世 セランディアン期</t>
        </is>
      </c>
      <c r="X35" s="10" t="inlineStr">
        <is>
          <t>Mesozoic Early Cretaceous Albian - Cenozoic Paleogene Paleocene Selandian</t>
        </is>
      </c>
      <c r="Y35" s="10" t="inlineStr">
        <is>
          <t>苦鉄質片岩 高P/T型広域変成岩　アルバイト黒雲母帯</t>
        </is>
      </c>
      <c r="Z35" s="10" t="inlineStr">
        <is>
          <t>mafic schist albite-biotite zone of high P/T regional metamorphic rocks</t>
        </is>
      </c>
      <c r="AA35" s="10" t="inlineStr">
        <is>
          <t>変成岩</t>
        </is>
      </c>
      <c r="AB35" s="10" t="inlineStr">
        <is>
          <t>Metamorphic rocks</t>
        </is>
      </c>
      <c r="AC35" s="10" t="inlineStr">
        <is>
          <t>Metamorphic Belt</t>
        </is>
      </c>
    </row>
    <row r="36">
      <c r="A36" s="5" t="inlineStr">
        <is>
          <t>m200k_NI-53-21_u035</t>
        </is>
      </c>
      <c r="B36" s="6" t="inlineStr">
        <is>
          <t>col_8</t>
        </is>
      </c>
      <c r="C36" s="6" t="n">
        <v>7</v>
      </c>
      <c r="D36" s="7" t="inlineStr">
        <is>
          <t>Selandian Schist (Tokushima Metamorphic)</t>
        </is>
      </c>
      <c r="E36" s="5" t="inlineStr">
        <is>
          <t>Tokushima Metamorphic Belt</t>
        </is>
      </c>
      <c r="F36" s="6" t="inlineStr">
        <is>
          <t>Selandian</t>
        </is>
      </c>
      <c r="G36" s="8" t="n">
        <v>59.24</v>
      </c>
      <c r="H36" s="9">
        <f>IF(OR($F36="",$G36=""),"",IFERROR((VLOOKUP($F36,intervals!$A:$C,2,FALSE)-$G36)/(VLOOKUP($F36,intervals!$A:$C,2,FALSE)-VLOOKUP($F36,intervals!$A:$C,3,FALSE)),""))</f>
        <v/>
      </c>
      <c r="I36" s="6" t="inlineStr">
        <is>
          <t>Albian</t>
        </is>
      </c>
      <c r="J36" s="8" t="n">
        <v>113.2</v>
      </c>
      <c r="K36" s="9">
        <f>IF(OR($I36="",$J36=""),"",IFERROR((VLOOKUP($I36,intervals!$A:$C,2,FALSE)-$J36)/(VLOOKUP($I36,intervals!$A:$C,2,FALSE)-VLOOKUP($I36,intervals!$A:$C,3,FALSE)),""))</f>
        <v/>
      </c>
      <c r="L36" s="7" t="inlineStr">
        <is>
          <t>schist</t>
        </is>
      </c>
      <c r="M36" s="5" t="inlineStr">
        <is>
          <t>metamorphic</t>
        </is>
      </c>
      <c r="N36" s="5" t="inlineStr">
        <is>
          <t>metamorphic</t>
        </is>
      </c>
      <c r="O36" s="5" t="inlineStr">
        <is>
          <t>Mesozoic Early Cretaceous Albian - Cenozoic Paleogene Paleocene Selandian; pelitic schist albite-biotite zone of high P/T regional metamorphic rocks [Metamorphic Belt]</t>
        </is>
      </c>
      <c r="P36" s="5" t="inlineStr"/>
      <c r="Q36" s="5" t="inlineStr"/>
      <c r="R36" s="5" t="inlineStr">
        <is>
          <t>unknown</t>
        </is>
      </c>
      <c r="S36" s="5" t="inlineStr"/>
      <c r="T36" s="5" t="inlineStr">
        <is>
          <t>GSJ 200k Seamless K122-Pg12_mscpe_hab</t>
        </is>
      </c>
      <c r="U36" s="5" t="inlineStr"/>
      <c r="V36" s="10" t="inlineStr">
        <is>
          <t>K122-Pg12_mscpe_hab</t>
        </is>
      </c>
      <c r="W36" s="10" t="inlineStr">
        <is>
          <t>中生代 前期白亜紀 アルビアン期〜新生代 古第三紀 暁新世 セランディアン期</t>
        </is>
      </c>
      <c r="X36" s="10" t="inlineStr">
        <is>
          <t>Mesozoic Early Cretaceous Albian - Cenozoic Paleogene Paleocene Selandian</t>
        </is>
      </c>
      <c r="Y36" s="10" t="inlineStr">
        <is>
          <t>泥質片岩 高P/T型広域変成岩　アルバイト黒雲母帯</t>
        </is>
      </c>
      <c r="Z36" s="10" t="inlineStr">
        <is>
          <t>pelitic schist albite-biotite zone of high P/T regional metamorphic rocks</t>
        </is>
      </c>
      <c r="AA36" s="10" t="inlineStr">
        <is>
          <t>変成岩</t>
        </is>
      </c>
      <c r="AB36" s="10" t="inlineStr">
        <is>
          <t>Metamorphic rocks</t>
        </is>
      </c>
      <c r="AC36" s="10" t="inlineStr">
        <is>
          <t>Metamorphic Belt</t>
        </is>
      </c>
    </row>
    <row r="37">
      <c r="A37" s="5" t="inlineStr">
        <is>
          <t>m200k_NI-53-21_u036</t>
        </is>
      </c>
      <c r="B37" s="6" t="inlineStr">
        <is>
          <t>col_8</t>
        </is>
      </c>
      <c r="C37" s="6" t="n">
        <v>8</v>
      </c>
      <c r="D37" s="7" t="inlineStr">
        <is>
          <t>Selandian Mafic (Tokushima Metamorphic)</t>
        </is>
      </c>
      <c r="E37" s="5" t="inlineStr">
        <is>
          <t>Tokushima Metamorphic Belt</t>
        </is>
      </c>
      <c r="F37" s="6" t="inlineStr">
        <is>
          <t>Selandian</t>
        </is>
      </c>
      <c r="G37" s="8" t="n">
        <v>59.24</v>
      </c>
      <c r="H37" s="9">
        <f>IF(OR($F37="",$G37=""),"",IFERROR((VLOOKUP($F37,intervals!$A:$C,2,FALSE)-$G37)/(VLOOKUP($F37,intervals!$A:$C,2,FALSE)-VLOOKUP($F37,intervals!$A:$C,3,FALSE)),""))</f>
        <v/>
      </c>
      <c r="I37" s="6" t="inlineStr">
        <is>
          <t>Albian</t>
        </is>
      </c>
      <c r="J37" s="8" t="n">
        <v>113.2</v>
      </c>
      <c r="K37" s="9">
        <f>IF(OR($I37="",$J37=""),"",IFERROR((VLOOKUP($I37,intervals!$A:$C,2,FALSE)-$J37)/(VLOOKUP($I37,intervals!$A:$C,2,FALSE)-VLOOKUP($I37,intervals!$A:$C,3,FALSE)),""))</f>
        <v/>
      </c>
      <c r="L37" s="7" t="inlineStr">
        <is>
          <t>mafic</t>
        </is>
      </c>
      <c r="M37" s="5" t="inlineStr">
        <is>
          <t>schist</t>
        </is>
      </c>
      <c r="N37" s="5" t="inlineStr">
        <is>
          <t>metamorphic</t>
        </is>
      </c>
      <c r="O37" s="5" t="inlineStr">
        <is>
          <t>Mesozoic Early Cretaceous Albian - Cenozoic Paleogene Paleocene Selandian; mafic schist chlorite zone of high P/T regional metamorphic rocks [Metamorphic Belt]</t>
        </is>
      </c>
      <c r="P37" s="5" t="inlineStr"/>
      <c r="Q37" s="5" t="inlineStr"/>
      <c r="R37" s="5" t="inlineStr">
        <is>
          <t>unknown</t>
        </is>
      </c>
      <c r="S37" s="5" t="inlineStr"/>
      <c r="T37" s="5" t="inlineStr">
        <is>
          <t>GSJ 200k Seamless K122-Pg12_mscma_hc</t>
        </is>
      </c>
      <c r="U37" s="5" t="inlineStr"/>
      <c r="V37" s="10" t="inlineStr">
        <is>
          <t>K122-Pg12_mscma_hc</t>
        </is>
      </c>
      <c r="W37" s="10" t="inlineStr">
        <is>
          <t>中生代 前期白亜紀 アルビアン期〜新生代 古第三紀 暁新世 セランディアン期</t>
        </is>
      </c>
      <c r="X37" s="10" t="inlineStr">
        <is>
          <t>Mesozoic Early Cretaceous Albian - Cenozoic Paleogene Paleocene Selandian</t>
        </is>
      </c>
      <c r="Y37" s="10" t="inlineStr">
        <is>
          <t>苦鉄質片岩 高P/T型広域変成岩　緑泥石帯</t>
        </is>
      </c>
      <c r="Z37" s="10" t="inlineStr">
        <is>
          <t>mafic schist chlorite zone of high P/T regional metamorphic rocks</t>
        </is>
      </c>
      <c r="AA37" s="10" t="inlineStr">
        <is>
          <t>変成岩</t>
        </is>
      </c>
      <c r="AB37" s="10" t="inlineStr">
        <is>
          <t>Metamorphic rocks</t>
        </is>
      </c>
      <c r="AC37" s="10" t="inlineStr">
        <is>
          <t>Metamorphic Belt</t>
        </is>
      </c>
    </row>
    <row r="38">
      <c r="A38" s="5" t="inlineStr">
        <is>
          <t>m200k_NI-53-21_u037</t>
        </is>
      </c>
      <c r="B38" s="6" t="inlineStr">
        <is>
          <t>col_8</t>
        </is>
      </c>
      <c r="C38" s="6" t="n">
        <v>9</v>
      </c>
      <c r="D38" s="7" t="inlineStr">
        <is>
          <t>Selandian Mafic (Tokushima Metamorphic)</t>
        </is>
      </c>
      <c r="E38" s="5" t="inlineStr">
        <is>
          <t>Tokushima Metamorphic Belt</t>
        </is>
      </c>
      <c r="F38" s="6" t="inlineStr">
        <is>
          <t>Selandian</t>
        </is>
      </c>
      <c r="G38" s="8" t="n">
        <v>59.24</v>
      </c>
      <c r="H38" s="9">
        <f>IF(OR($F38="",$G38=""),"",IFERROR((VLOOKUP($F38,intervals!$A:$C,2,FALSE)-$G38)/(VLOOKUP($F38,intervals!$A:$C,2,FALSE)-VLOOKUP($F38,intervals!$A:$C,3,FALSE)),""))</f>
        <v/>
      </c>
      <c r="I38" s="6" t="inlineStr">
        <is>
          <t>Albian</t>
        </is>
      </c>
      <c r="J38" s="8" t="n">
        <v>113.2</v>
      </c>
      <c r="K38" s="9">
        <f>IF(OR($I38="",$J38=""),"",IFERROR((VLOOKUP($I38,intervals!$A:$C,2,FALSE)-$J38)/(VLOOKUP($I38,intervals!$A:$C,2,FALSE)-VLOOKUP($I38,intervals!$A:$C,3,FALSE)),""))</f>
        <v/>
      </c>
      <c r="L38" s="7" t="inlineStr">
        <is>
          <t>mafic</t>
        </is>
      </c>
      <c r="M38" s="5" t="inlineStr">
        <is>
          <t>schist</t>
        </is>
      </c>
      <c r="N38" s="5" t="inlineStr">
        <is>
          <t>metamorphic</t>
        </is>
      </c>
      <c r="O38" s="5" t="inlineStr">
        <is>
          <t>Mesozoic Early Cretaceous Albian - Cenozoic Paleogene Paleocene Selandian; mafic schist garnet zone of high P/T regional metamorphic rocks [Metamorphic Belt]</t>
        </is>
      </c>
      <c r="P38" s="5" t="inlineStr"/>
      <c r="Q38" s="5" t="inlineStr"/>
      <c r="R38" s="5" t="inlineStr">
        <is>
          <t>unknown</t>
        </is>
      </c>
      <c r="S38" s="5" t="inlineStr"/>
      <c r="T38" s="5" t="inlineStr">
        <is>
          <t>GSJ 200k Seamless K122-Pg12_mscma_hg</t>
        </is>
      </c>
      <c r="U38" s="5" t="inlineStr"/>
      <c r="V38" s="10" t="inlineStr">
        <is>
          <t>K122-Pg12_mscma_hg</t>
        </is>
      </c>
      <c r="W38" s="10" t="inlineStr">
        <is>
          <t>中生代 前期白亜紀 アルビアン期〜新生代 古第三紀 暁新世 セランディアン期</t>
        </is>
      </c>
      <c r="X38" s="10" t="inlineStr">
        <is>
          <t>Mesozoic Early Cretaceous Albian - Cenozoic Paleogene Paleocene Selandian</t>
        </is>
      </c>
      <c r="Y38" s="10" t="inlineStr">
        <is>
          <t>苦鉄質片岩 高P/T型広域変成岩　ざくろ石帯</t>
        </is>
      </c>
      <c r="Z38" s="10" t="inlineStr">
        <is>
          <t>mafic schist garnet zone of high P/T regional metamorphic rocks</t>
        </is>
      </c>
      <c r="AA38" s="10" t="inlineStr">
        <is>
          <t>変成岩</t>
        </is>
      </c>
      <c r="AB38" s="10" t="inlineStr">
        <is>
          <t>Metamorphic rocks</t>
        </is>
      </c>
      <c r="AC38" s="10" t="inlineStr">
        <is>
          <t>Metamorphic Belt</t>
        </is>
      </c>
    </row>
    <row r="39">
      <c r="A39" s="5" t="inlineStr">
        <is>
          <t>m200k_NI-53-21_u038</t>
        </is>
      </c>
      <c r="B39" s="6" t="inlineStr">
        <is>
          <t>col_8</t>
        </is>
      </c>
      <c r="C39" s="6" t="n">
        <v>10</v>
      </c>
      <c r="D39" s="7" t="inlineStr">
        <is>
          <t>Selandian Schist (Tokushima Metamorphic)</t>
        </is>
      </c>
      <c r="E39" s="5" t="inlineStr">
        <is>
          <t>Tokushima Metamorphic Belt</t>
        </is>
      </c>
      <c r="F39" s="6" t="inlineStr">
        <is>
          <t>Selandian</t>
        </is>
      </c>
      <c r="G39" s="8" t="n">
        <v>59.24</v>
      </c>
      <c r="H39" s="9">
        <f>IF(OR($F39="",$G39=""),"",IFERROR((VLOOKUP($F39,intervals!$A:$C,2,FALSE)-$G39)/(VLOOKUP($F39,intervals!$A:$C,2,FALSE)-VLOOKUP($F39,intervals!$A:$C,3,FALSE)),""))</f>
        <v/>
      </c>
      <c r="I39" s="6" t="inlineStr">
        <is>
          <t>Albian</t>
        </is>
      </c>
      <c r="J39" s="8" t="n">
        <v>113.2</v>
      </c>
      <c r="K39" s="9">
        <f>IF(OR($I39="",$J39=""),"",IFERROR((VLOOKUP($I39,intervals!$A:$C,2,FALSE)-$J39)/(VLOOKUP($I39,intervals!$A:$C,2,FALSE)-VLOOKUP($I39,intervals!$A:$C,3,FALSE)),""))</f>
        <v/>
      </c>
      <c r="L39" s="7" t="inlineStr">
        <is>
          <t>schist</t>
        </is>
      </c>
      <c r="M39" s="5" t="inlineStr">
        <is>
          <t>metamorphic</t>
        </is>
      </c>
      <c r="N39" s="5" t="inlineStr">
        <is>
          <t>metamorphic</t>
        </is>
      </c>
      <c r="O39" s="5" t="inlineStr">
        <is>
          <t>Mesozoic Early Cretaceous Albian - Cenozoic Paleogene Paleocene Selandian; pelitic schist garnet zone of high P/T regional metamorphic rocks [Metamorphic Belt]</t>
        </is>
      </c>
      <c r="P39" s="5" t="inlineStr"/>
      <c r="Q39" s="5" t="inlineStr"/>
      <c r="R39" s="5" t="inlineStr">
        <is>
          <t>unknown</t>
        </is>
      </c>
      <c r="S39" s="5" t="inlineStr"/>
      <c r="T39" s="5" t="inlineStr">
        <is>
          <t>GSJ 200k Seamless K122-Pg12_mscpe_hg</t>
        </is>
      </c>
      <c r="U39" s="5" t="inlineStr"/>
      <c r="V39" s="10" t="inlineStr">
        <is>
          <t>K122-Pg12_mscpe_hg</t>
        </is>
      </c>
      <c r="W39" s="10" t="inlineStr">
        <is>
          <t>中生代 前期白亜紀 アルビアン期〜新生代 古第三紀 暁新世 セランディアン期</t>
        </is>
      </c>
      <c r="X39" s="10" t="inlineStr">
        <is>
          <t>Mesozoic Early Cretaceous Albian - Cenozoic Paleogene Paleocene Selandian</t>
        </is>
      </c>
      <c r="Y39" s="10" t="inlineStr">
        <is>
          <t>泥質片岩 高P/T型広域変成岩　ざくろ石帯</t>
        </is>
      </c>
      <c r="Z39" s="10" t="inlineStr">
        <is>
          <t>pelitic schist garnet zone of high P/T regional metamorphic rocks</t>
        </is>
      </c>
      <c r="AA39" s="10" t="inlineStr">
        <is>
          <t>変成岩</t>
        </is>
      </c>
      <c r="AB39" s="10" t="inlineStr">
        <is>
          <t>Metamorphic rocks</t>
        </is>
      </c>
      <c r="AC39" s="10" t="inlineStr">
        <is>
          <t>Metamorphic Belt</t>
        </is>
      </c>
    </row>
    <row r="40">
      <c r="A40" s="5" t="inlineStr">
        <is>
          <t>m200k_NI-53-21_u039</t>
        </is>
      </c>
      <c r="B40" s="6" t="inlineStr">
        <is>
          <t>col_8</t>
        </is>
      </c>
      <c r="C40" s="6" t="n">
        <v>11</v>
      </c>
      <c r="D40" s="7" t="inlineStr">
        <is>
          <t>Selandian Schist (Tokushima Metamorphic)</t>
        </is>
      </c>
      <c r="E40" s="5" t="inlineStr">
        <is>
          <t>Tokushima Metamorphic Belt</t>
        </is>
      </c>
      <c r="F40" s="6" t="inlineStr">
        <is>
          <t>Selandian</t>
        </is>
      </c>
      <c r="G40" s="8" t="n">
        <v>59.24</v>
      </c>
      <c r="H40" s="9">
        <f>IF(OR($F40="",$G40=""),"",IFERROR((VLOOKUP($F40,intervals!$A:$C,2,FALSE)-$G40)/(VLOOKUP($F40,intervals!$A:$C,2,FALSE)-VLOOKUP($F40,intervals!$A:$C,3,FALSE)),""))</f>
        <v/>
      </c>
      <c r="I40" s="6" t="inlineStr">
        <is>
          <t>Albian</t>
        </is>
      </c>
      <c r="J40" s="8" t="n">
        <v>113.2</v>
      </c>
      <c r="K40" s="9">
        <f>IF(OR($I40="",$J40=""),"",IFERROR((VLOOKUP($I40,intervals!$A:$C,2,FALSE)-$J40)/(VLOOKUP($I40,intervals!$A:$C,2,FALSE)-VLOOKUP($I40,intervals!$A:$C,3,FALSE)),""))</f>
        <v/>
      </c>
      <c r="L40" s="7" t="inlineStr">
        <is>
          <t>schist</t>
        </is>
      </c>
      <c r="M40" s="5" t="inlineStr">
        <is>
          <t>metamorphic</t>
        </is>
      </c>
      <c r="N40" s="5" t="inlineStr">
        <is>
          <t>metamorphic</t>
        </is>
      </c>
      <c r="O40" s="5" t="inlineStr">
        <is>
          <t>Mesozoic Early Cretaceous Albian - Cenozoic Paleogene Paleocene Selandian; pelitic schist chlorite zone of high P/T regional metamorphic rocks [Metamorphic Belt]</t>
        </is>
      </c>
      <c r="P40" s="5" t="inlineStr"/>
      <c r="Q40" s="5" t="inlineStr"/>
      <c r="R40" s="5" t="inlineStr">
        <is>
          <t>unknown</t>
        </is>
      </c>
      <c r="S40" s="5" t="inlineStr"/>
      <c r="T40" s="5" t="inlineStr">
        <is>
          <t>GSJ 200k Seamless K122-Pg12_mscpe_hc</t>
        </is>
      </c>
      <c r="U40" s="5" t="inlineStr"/>
      <c r="V40" s="10" t="inlineStr">
        <is>
          <t>K122-Pg12_mscpe_hc</t>
        </is>
      </c>
      <c r="W40" s="10" t="inlineStr">
        <is>
          <t>中生代 前期白亜紀 アルビアン期〜新生代 古第三紀 暁新世 セランディアン期</t>
        </is>
      </c>
      <c r="X40" s="10" t="inlineStr">
        <is>
          <t>Mesozoic Early Cretaceous Albian - Cenozoic Paleogene Paleocene Selandian</t>
        </is>
      </c>
      <c r="Y40" s="10" t="inlineStr">
        <is>
          <t>泥質片岩 高P/T型広域変成岩　緑泥石帯</t>
        </is>
      </c>
      <c r="Z40" s="10" t="inlineStr">
        <is>
          <t>pelitic schist chlorite zone of high P/T regional metamorphic rocks</t>
        </is>
      </c>
      <c r="AA40" s="10" t="inlineStr">
        <is>
          <t>変成岩</t>
        </is>
      </c>
      <c r="AB40" s="10" t="inlineStr">
        <is>
          <t>Metamorphic rocks</t>
        </is>
      </c>
      <c r="AC40" s="10" t="inlineStr">
        <is>
          <t>Metamorphic Belt</t>
        </is>
      </c>
    </row>
  </sheetData>
  <autoFilter ref="A1:AC4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15" customWidth="1" min="7" max="7"/>
    <col width="15" customWidth="1" min="8" max="8"/>
    <col width="20" customWidth="1" min="9" max="9"/>
    <col width="20" customWidth="1" min="10" max="10"/>
    <col width="15" customWidth="1" min="11" max="11"/>
  </cols>
  <sheetData>
    <row r="1">
      <c r="A1" s="3" t="inlineStr">
        <is>
          <t>col_id</t>
        </is>
      </c>
      <c r="B1" s="3" t="inlineStr">
        <is>
          <t>col_name</t>
        </is>
      </c>
      <c r="C1" s="3" t="inlineStr">
        <is>
          <t>col_group</t>
        </is>
      </c>
      <c r="D1" s="3" t="inlineStr">
        <is>
          <t>domain_name</t>
        </is>
      </c>
      <c r="E1" s="3" t="inlineStr">
        <is>
          <t>b_int</t>
        </is>
      </c>
      <c r="F1" s="3" t="inlineStr">
        <is>
          <t>t_int</t>
        </is>
      </c>
      <c r="G1" s="3" t="inlineStr">
        <is>
          <t>b_prop</t>
        </is>
      </c>
      <c r="H1" s="3" t="inlineStr">
        <is>
          <t>t_prop</t>
        </is>
      </c>
      <c r="I1" s="3" t="inlineStr">
        <is>
          <t>geom</t>
        </is>
      </c>
      <c r="J1" s="3" t="inlineStr">
        <is>
          <t>rgeom</t>
        </is>
      </c>
      <c r="K1" s="3" t="inlineStr">
        <is>
          <t>comments</t>
        </is>
      </c>
    </row>
    <row r="2">
      <c r="A2" s="11" t="inlineStr">
        <is>
          <t>col_1</t>
        </is>
      </c>
      <c r="B2" s="11" t="inlineStr">
        <is>
          <t>Tokushima (Quaternary Basin &amp; Terrace Deposits) Column</t>
        </is>
      </c>
      <c r="C2" s="11" t="inlineStr">
        <is>
          <t>GSJ_200K_NI_53_21_Quaternary_Basin_and_Terrace_Deposits</t>
        </is>
      </c>
      <c r="D2" s="11" t="inlineStr">
        <is>
          <t>Quaternary Basin &amp; Terrace Deposits</t>
        </is>
      </c>
      <c r="E2" s="11" t="inlineStr">
        <is>
          <t>Gelasian</t>
        </is>
      </c>
      <c r="F2" s="11" t="inlineStr">
        <is>
          <t>Holocene</t>
        </is>
      </c>
      <c r="G2" s="11" t="n">
        <v>0</v>
      </c>
      <c r="H2" s="11" t="n">
        <v>1</v>
      </c>
      <c r="I2" s="11" t="inlineStr">
        <is>
          <t>POLYGON((134.0 34.0, 135.0 34.0, 135.0 34.666667, 134.0 34.666667, 134.0 34.0))</t>
        </is>
      </c>
      <c r="J2" s="11" t="inlineStr">
        <is>
          <t>POINT(134.5 34.333333499999995)</t>
        </is>
      </c>
      <c r="K2" s="11" t="inlineStr">
        <is>
          <t>GSJ 200k Tectonic Skeleton: Quaternary Basin &amp; Terrace Deposits in 徳島（第2版） (NI-53-21)</t>
        </is>
      </c>
    </row>
    <row r="3">
      <c r="A3" s="11" t="inlineStr">
        <is>
          <t>col_2</t>
        </is>
      </c>
      <c r="B3" s="11" t="inlineStr">
        <is>
          <t>Tokushima (Neogene-Paleogene Volcanic Complex) Column</t>
        </is>
      </c>
      <c r="C3" s="11" t="inlineStr">
        <is>
          <t>GSJ_200K_NI_53_21_Neogene-Paleogene_Volcanic_Complex</t>
        </is>
      </c>
      <c r="D3" s="11" t="inlineStr">
        <is>
          <t>Neogene-Paleogene Volcanic Complex</t>
        </is>
      </c>
      <c r="E3" s="11" t="inlineStr">
        <is>
          <t>Cenomanian</t>
        </is>
      </c>
      <c r="F3" s="11" t="inlineStr">
        <is>
          <t>Tortonian</t>
        </is>
      </c>
      <c r="G3" s="11" t="n">
        <v>0</v>
      </c>
      <c r="H3" s="11" t="n">
        <v>1</v>
      </c>
      <c r="I3" s="11" t="inlineStr">
        <is>
          <t>POLYGON((134.0 34.0, 135.0 34.0, 135.0 34.666667, 134.0 34.666667, 134.0 34.0))</t>
        </is>
      </c>
      <c r="J3" s="11" t="inlineStr">
        <is>
          <t>POINT(134.5 34.333333499999995)</t>
        </is>
      </c>
      <c r="K3" s="11" t="inlineStr">
        <is>
          <t>GSJ 200k Tectonic Skeleton: Neogene-Paleogene Volcanic Complex in 徳島（第2版） (NI-53-21)</t>
        </is>
      </c>
    </row>
    <row r="4">
      <c r="A4" s="11" t="inlineStr">
        <is>
          <t>col_3</t>
        </is>
      </c>
      <c r="B4" s="11" t="inlineStr">
        <is>
          <t>Tokushima (Accretionary Complex) Column</t>
        </is>
      </c>
      <c r="C4" s="11" t="inlineStr">
        <is>
          <t>GSJ_200K_NI_53_21_Accretionary_Complex</t>
        </is>
      </c>
      <c r="D4" s="11" t="inlineStr">
        <is>
          <t>Accretionary Complex</t>
        </is>
      </c>
      <c r="E4" s="11" t="inlineStr">
        <is>
          <t>Guadalupian</t>
        </is>
      </c>
      <c r="F4" s="11" t="inlineStr">
        <is>
          <t>Bajocian</t>
        </is>
      </c>
      <c r="G4" s="11" t="n">
        <v>0</v>
      </c>
      <c r="H4" s="11" t="n">
        <v>1</v>
      </c>
      <c r="I4" s="11" t="inlineStr">
        <is>
          <t>POLYGON((134.0 34.0, 135.0 34.0, 135.0 34.666667, 134.0 34.666667, 134.0 34.0))</t>
        </is>
      </c>
      <c r="J4" s="11" t="inlineStr">
        <is>
          <t>POINT(134.5 34.333333499999995)</t>
        </is>
      </c>
      <c r="K4" s="11" t="inlineStr">
        <is>
          <t>GSJ 200k Tectonic Skeleton: Accretionary Complex in 徳島（第2版） (NI-53-21)</t>
        </is>
      </c>
    </row>
    <row r="5">
      <c r="A5" s="11" t="inlineStr">
        <is>
          <t>col_4</t>
        </is>
      </c>
      <c r="B5" s="11" t="inlineStr">
        <is>
          <t>Tokushima (Sedimentary rocks Succession) Column</t>
        </is>
      </c>
      <c r="C5" s="11" t="inlineStr">
        <is>
          <t>GSJ_200K_NI_53_21_Sedimentary_rocks_Succession</t>
        </is>
      </c>
      <c r="D5" s="11" t="inlineStr">
        <is>
          <t>Sedimentary rocks Succession</t>
        </is>
      </c>
      <c r="E5" s="11" t="inlineStr">
        <is>
          <t>Lutetian</t>
        </is>
      </c>
      <c r="F5" s="11" t="inlineStr">
        <is>
          <t>Priabonian</t>
        </is>
      </c>
      <c r="G5" s="11" t="n">
        <v>0</v>
      </c>
      <c r="H5" s="11" t="n">
        <v>1</v>
      </c>
      <c r="I5" s="11" t="inlineStr">
        <is>
          <t>POLYGON((134.0 34.0, 135.0 34.0, 135.0 34.666667, 134.0 34.666667, 134.0 34.0))</t>
        </is>
      </c>
      <c r="J5" s="11" t="inlineStr">
        <is>
          <t>POINT(134.5 34.333333499999995)</t>
        </is>
      </c>
      <c r="K5" s="11" t="inlineStr">
        <is>
          <t>GSJ 200k Tectonic Skeleton: Sedimentary rocks Succession in 徳島（第2版） (NI-53-21)</t>
        </is>
      </c>
    </row>
    <row r="6">
      <c r="A6" s="11" t="inlineStr">
        <is>
          <t>col_5</t>
        </is>
      </c>
      <c r="B6" s="11" t="inlineStr">
        <is>
          <t>Tokushima (Plutonic Complex) Column</t>
        </is>
      </c>
      <c r="C6" s="11" t="inlineStr">
        <is>
          <t>GSJ_200K_NI_53_21_Plutonic_Complex</t>
        </is>
      </c>
      <c r="D6" s="11" t="inlineStr">
        <is>
          <t>Plutonic Complex</t>
        </is>
      </c>
      <c r="E6" s="11" t="inlineStr">
        <is>
          <t>Cenomanian</t>
        </is>
      </c>
      <c r="F6" s="11" t="inlineStr">
        <is>
          <t>Maastrichtian</t>
        </is>
      </c>
      <c r="G6" s="11" t="n">
        <v>0</v>
      </c>
      <c r="H6" s="11" t="n">
        <v>1</v>
      </c>
      <c r="I6" s="11" t="inlineStr">
        <is>
          <t>POLYGON((134.0 34.0, 135.0 34.0, 135.0 34.666667, 134.0 34.666667, 134.0 34.0))</t>
        </is>
      </c>
      <c r="J6" s="11" t="inlineStr">
        <is>
          <t>POINT(134.5 34.333333499999995)</t>
        </is>
      </c>
      <c r="K6" s="11" t="inlineStr">
        <is>
          <t>GSJ 200k Tectonic Skeleton: Plutonic Complex in 徳島（第2版） (NI-53-21)</t>
        </is>
      </c>
    </row>
    <row r="7">
      <c r="A7" s="11" t="inlineStr">
        <is>
          <t>col_6</t>
        </is>
      </c>
      <c r="B7" s="11" t="inlineStr">
        <is>
          <t>Tokushima (Mesozoic Sedimentary Basin) Column</t>
        </is>
      </c>
      <c r="C7" s="11" t="inlineStr">
        <is>
          <t>GSJ_200K_NI_53_21_Mesozoic_Sedimentary_Basin</t>
        </is>
      </c>
      <c r="D7" s="11" t="inlineStr">
        <is>
          <t>Mesozoic Sedimentary Basin</t>
        </is>
      </c>
      <c r="E7" s="11" t="inlineStr">
        <is>
          <t>Cenomanian</t>
        </is>
      </c>
      <c r="F7" s="11" t="inlineStr">
        <is>
          <t>Maastrichtian</t>
        </is>
      </c>
      <c r="G7" s="11" t="n">
        <v>0</v>
      </c>
      <c r="H7" s="11" t="n">
        <v>1</v>
      </c>
      <c r="I7" s="11" t="inlineStr">
        <is>
          <t>POLYGON((134.0 34.0, 135.0 34.0, 135.0 34.666667, 134.0 34.666667, 134.0 34.0))</t>
        </is>
      </c>
      <c r="J7" s="11" t="inlineStr">
        <is>
          <t>POINT(134.5 34.333333499999995)</t>
        </is>
      </c>
      <c r="K7" s="11" t="inlineStr">
        <is>
          <t>GSJ 200k Tectonic Skeleton: Mesozoic Sedimentary Basin in 徳島（第2版） (NI-53-21)</t>
        </is>
      </c>
    </row>
    <row r="8">
      <c r="A8" s="11" t="inlineStr">
        <is>
          <t>col_7</t>
        </is>
      </c>
      <c r="B8" s="11" t="inlineStr">
        <is>
          <t>Tokushima (Neogene Sedimentary Basin) Column</t>
        </is>
      </c>
      <c r="C8" s="11" t="inlineStr">
        <is>
          <t>GSJ_200K_NI_53_21_Neogene_Sedimentary_Basin</t>
        </is>
      </c>
      <c r="D8" s="11" t="inlineStr">
        <is>
          <t>Neogene Sedimentary Basin</t>
        </is>
      </c>
      <c r="E8" s="11" t="inlineStr">
        <is>
          <t>Messinian</t>
        </is>
      </c>
      <c r="F8" s="11" t="inlineStr">
        <is>
          <t>Pliocene</t>
        </is>
      </c>
      <c r="G8" s="11" t="n">
        <v>0</v>
      </c>
      <c r="H8" s="11" t="n">
        <v>1</v>
      </c>
      <c r="I8" s="11" t="inlineStr">
        <is>
          <t>POLYGON((134.0 34.0, 135.0 34.0, 135.0 34.666667, 134.0 34.666667, 134.0 34.0))</t>
        </is>
      </c>
      <c r="J8" s="11" t="inlineStr">
        <is>
          <t>POINT(134.5 34.333333499999995)</t>
        </is>
      </c>
      <c r="K8" s="11" t="inlineStr">
        <is>
          <t>GSJ 200k Tectonic Skeleton: Neogene Sedimentary Basin in 徳島（第2版） (NI-53-21)</t>
        </is>
      </c>
    </row>
    <row r="9">
      <c r="A9" s="11" t="inlineStr">
        <is>
          <t>col_8</t>
        </is>
      </c>
      <c r="B9" s="11" t="inlineStr">
        <is>
          <t>Tokushima (Metamorphic Belt) Column</t>
        </is>
      </c>
      <c r="C9" s="11" t="inlineStr">
        <is>
          <t>GSJ_200K_NI_53_21_Metamorphic_Belt</t>
        </is>
      </c>
      <c r="D9" s="11" t="inlineStr">
        <is>
          <t>Metamorphic Belt</t>
        </is>
      </c>
      <c r="E9" s="11" t="inlineStr">
        <is>
          <t>Cretaceous</t>
        </is>
      </c>
      <c r="F9" s="11" t="inlineStr">
        <is>
          <t>Selandian</t>
        </is>
      </c>
      <c r="G9" s="11" t="n">
        <v>0</v>
      </c>
      <c r="H9" s="11" t="n">
        <v>1</v>
      </c>
      <c r="I9" s="11" t="inlineStr">
        <is>
          <t>POLYGON((134.0 34.0, 135.0 34.0, 135.0 34.666667, 134.0 34.666667, 134.0 34.0))</t>
        </is>
      </c>
      <c r="J9" s="11" t="inlineStr">
        <is>
          <t>POINT(134.5 34.333333499999995)</t>
        </is>
      </c>
      <c r="K9" s="11" t="inlineStr">
        <is>
          <t>GSJ 200k Tectonic Skeleton: Metamorphic Belt in 徳島（第2版） (NI-53-21)</t>
        </is>
      </c>
    </row>
  </sheetData>
  <autoFilter ref="A1:K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</cols>
  <sheetData>
    <row r="1">
      <c r="A1" s="3" t="inlineStr">
        <is>
          <t>ref_id</t>
        </is>
      </c>
      <c r="B1" s="3" t="inlineStr">
        <is>
          <t>title</t>
        </is>
      </c>
      <c r="C1" s="3" t="inlineStr">
        <is>
          <t>authors</t>
        </is>
      </c>
      <c r="D1" s="3" t="inlineStr">
        <is>
          <t>publication</t>
        </is>
      </c>
      <c r="E1" s="3" t="inlineStr">
        <is>
          <t>compilation</t>
        </is>
      </c>
      <c r="F1" s="3" t="inlineStr">
        <is>
          <t>organization</t>
        </is>
      </c>
      <c r="G1" s="3" t="inlineStr">
        <is>
          <t>date</t>
        </is>
      </c>
      <c r="H1" s="3" t="inlineStr">
        <is>
          <t>doi</t>
        </is>
      </c>
      <c r="I1" s="3" t="inlineStr">
        <is>
          <t>url</t>
        </is>
      </c>
      <c r="J1" s="3" t="inlineStr">
        <is>
          <t>comments</t>
        </is>
      </c>
    </row>
    <row r="2">
      <c r="A2" s="11" t="n">
        <v>1</v>
      </c>
      <c r="B2" s="11" t="inlineStr">
        <is>
          <t>1:200,000 Geological Map of Japan: 徳島（第2版） (Tokushima)</t>
        </is>
      </c>
      <c r="C2" s="11" t="inlineStr">
        <is>
          <t>Geological Survey of Japan, AIST</t>
        </is>
      </c>
      <c r="D2" s="11" t="inlineStr">
        <is>
          <t>Geological Map of Japan 1:200,000</t>
        </is>
      </c>
      <c r="E2" s="11" t="inlineStr">
        <is>
          <t>GSJ Seamless Geological Map of Japan V2</t>
        </is>
      </c>
      <c r="F2" s="11" t="inlineStr">
        <is>
          <t>Geological Survey of Japan, AIST</t>
        </is>
      </c>
      <c r="G2" s="11" t="inlineStr">
        <is>
          <t>1995</t>
        </is>
      </c>
      <c r="H2" s="11" t="inlineStr"/>
      <c r="I2" s="11" t="inlineStr">
        <is>
          <t>https://www.gsj.jp/Map/JP/geology2.html</t>
        </is>
      </c>
      <c r="J2" s="11" t="inlineStr">
        <is>
          <t>IMW Sheet NI-53-21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3" t="inlineStr">
        <is>
          <t>col_ids</t>
        </is>
      </c>
      <c r="B1" s="3" t="inlineStr">
        <is>
          <t>image_name</t>
        </is>
      </c>
      <c r="C1" s="3" t="inlineStr">
        <is>
          <t>ref_id</t>
        </is>
      </c>
      <c r="D1" s="3" t="inlineStr">
        <is>
          <t>page_no</t>
        </is>
      </c>
      <c r="E1" s="3" t="inlineStr">
        <is>
          <t>fig_no</t>
        </is>
      </c>
      <c r="F1" s="3" t="inlineStr">
        <is>
          <t>description</t>
        </is>
      </c>
      <c r="G1" s="3" t="inlineStr">
        <is>
          <t>comments</t>
        </is>
      </c>
    </row>
    <row r="2">
      <c r="A2" s="11" t="inlineStr"/>
      <c r="B2" s="11" t="inlineStr"/>
      <c r="C2" s="11" t="inlineStr"/>
      <c r="D2" s="11" t="inlineStr"/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s="11" t="inlineStr">
        <is>
          <t>project_name</t>
        </is>
      </c>
      <c r="B2" s="11" t="inlineStr">
        <is>
          <t>GSJ Japan 200k Regional Skeleton</t>
        </is>
      </c>
    </row>
    <row r="3">
      <c r="A3" s="11" t="inlineStr">
        <is>
          <t>organization</t>
        </is>
      </c>
      <c r="B3" s="11" t="inlineStr">
        <is>
          <t>Macrostrat Japan Project / GSJ</t>
        </is>
      </c>
    </row>
    <row r="4">
      <c r="A4" s="11" t="inlineStr">
        <is>
          <t>url</t>
        </is>
      </c>
      <c r="B4" s="11" t="inlineStr">
        <is>
          <t>https://macrostrat.org</t>
        </is>
      </c>
    </row>
    <row r="5">
      <c r="A5" s="11" t="inlineStr">
        <is>
          <t>project_id</t>
        </is>
      </c>
      <c r="B5" s="11" t="inlineStr">
        <is>
          <t>GSJ_200K_NI_53_21</t>
        </is>
      </c>
    </row>
    <row r="6">
      <c r="A6" s="11" t="inlineStr">
        <is>
          <t>compile_date</t>
        </is>
      </c>
      <c r="B6" s="11" t="inlineStr">
        <is>
          <t>2026-08-14</t>
        </is>
      </c>
    </row>
    <row r="7">
      <c r="A7" s="11" t="inlineStr">
        <is>
          <t>compiler_name</t>
        </is>
      </c>
      <c r="B7" s="11" t="inlineStr">
        <is>
          <t>MacroStrat Automated Pipeline</t>
        </is>
      </c>
    </row>
    <row r="8">
      <c r="A8" s="11" t="inlineStr">
        <is>
          <t>col_type</t>
        </is>
      </c>
      <c r="B8" s="11" t="inlineStr">
        <is>
          <t>column</t>
        </is>
      </c>
    </row>
    <row r="9">
      <c r="A9" s="11" t="inlineStr">
        <is>
          <t>axis_type</t>
        </is>
      </c>
      <c r="B9" s="11" t="inlineStr">
        <is>
          <t>age</t>
        </is>
      </c>
    </row>
    <row r="10">
      <c r="A10" s="11" t="inlineStr">
        <is>
          <t>timescale</t>
        </is>
      </c>
      <c r="B10" s="11" t="inlineStr">
        <is>
          <t>ICS 2020</t>
        </is>
      </c>
    </row>
    <row r="11">
      <c r="A11" s="11" t="inlineStr">
        <is>
          <t>srid</t>
        </is>
      </c>
      <c r="B11" s="11" t="inlineStr">
        <is>
          <t>4326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s="11" t="inlineStr">
        <is>
          <t>sheet_code</t>
        </is>
      </c>
      <c r="B2" s="11" t="inlineStr">
        <is>
          <t>NI-53-21</t>
        </is>
      </c>
    </row>
    <row r="3">
      <c r="A3" s="11" t="inlineStr">
        <is>
          <t>name_ja</t>
        </is>
      </c>
      <c r="B3" s="11" t="inlineStr">
        <is>
          <t>徳島（第2版）</t>
        </is>
      </c>
    </row>
    <row r="4">
      <c r="A4" s="11" t="inlineStr">
        <is>
          <t>name_en</t>
        </is>
      </c>
      <c r="B4" s="11" t="inlineStr">
        <is>
          <t>Tokushima</t>
        </is>
      </c>
    </row>
    <row r="5">
      <c r="A5" s="11" t="inlineStr">
        <is>
          <t>region</t>
        </is>
      </c>
      <c r="B5" s="11" t="inlineStr">
        <is>
          <t>05_中国四国</t>
        </is>
      </c>
    </row>
    <row r="6">
      <c r="A6" s="11" t="inlineStr">
        <is>
          <t>pub_year</t>
        </is>
      </c>
      <c r="B6" s="11" t="inlineStr">
        <is>
          <t>1995</t>
        </is>
      </c>
    </row>
    <row r="7">
      <c r="A7" s="11" t="inlineStr">
        <is>
          <t>bbox</t>
        </is>
      </c>
      <c r="B7" s="11" t="inlineStr">
        <is>
          <t>[34.0, 134.0, 34.666667, 135.0]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3" t="inlineStr">
        <is>
          <t>interval_name</t>
        </is>
      </c>
      <c r="B1" s="3" t="inlineStr">
        <is>
          <t>b_age</t>
        </is>
      </c>
      <c r="C1" s="3" t="inlineStr">
        <is>
          <t>t_age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3" t="inlineStr">
        <is>
          <t>unit_id</t>
        </is>
      </c>
      <c r="B1" s="3" t="inlineStr">
        <is>
          <t>unit_name</t>
        </is>
      </c>
      <c r="C1" s="3" t="inlineStr">
        <is>
          <t>unit_name_ja</t>
        </is>
      </c>
      <c r="D1" s="3" t="inlineStr">
        <is>
          <t>text</t>
        </is>
      </c>
    </row>
    <row r="2">
      <c r="A2" s="11" t="inlineStr">
        <is>
          <t>m200k_NI-53-21_u001</t>
        </is>
      </c>
      <c r="B2" s="11" t="inlineStr">
        <is>
          <t>Holocene Sedimentary (Tokushima Quaternary)</t>
        </is>
      </c>
      <c r="C2" s="11" t="inlineStr">
        <is>
          <t>新生代 第四紀 後期完新世 盛り土・埋立地・干拓地</t>
        </is>
      </c>
      <c r="D2" s="11" t="inlineStr">
        <is>
          <t>新生代 第四紀 後期完新世（Cenozoic Quaternary late Holocene）に形成された盛り土・埋立地・干拓地（Reclaimed land）。産総研シームレス地質図V2凡例記号: H2_or</t>
        </is>
      </c>
    </row>
    <row r="3">
      <c r="A3" s="11" t="inlineStr">
        <is>
          <t>m200k_NI-53-21_u002</t>
        </is>
      </c>
      <c r="B3" s="11" t="inlineStr">
        <is>
          <t>Holocene Sedimentary (Tokushima Quaternary)</t>
        </is>
      </c>
      <c r="C3" s="11" t="inlineStr">
        <is>
          <t>新生代 第四紀 完新世 谷底平野・山間盆地・河川・海岸平野堆積物</t>
        </is>
      </c>
      <c r="D3" s="11" t="inlineStr">
        <is>
          <t>新生代 第四紀 完新世（Cenozoic Quaternary Holocene）に形成された谷底平野・山間盆地・河川・海岸平野堆積物（valley floor, intermountain basin, river &amp;  coastal plain deposits）。産総研シームレス地質図V2凡例記号: H_sad</t>
        </is>
      </c>
    </row>
    <row r="4">
      <c r="A4" s="11" t="inlineStr">
        <is>
          <t>m200k_NI-53-21_u003</t>
        </is>
      </c>
      <c r="B4" s="11" t="inlineStr">
        <is>
          <t>Pleistocene Sedimentary (Tokushima Quaternary)</t>
        </is>
      </c>
      <c r="C4" s="11" t="inlineStr">
        <is>
          <t>新生代 第四紀 更新世 ジェラシアン期〜前期チバニアン期 非海成層</t>
        </is>
      </c>
      <c r="D4" s="11" t="inlineStr">
        <is>
          <t>新生代 第四紀 更新世 ジェラシアン期〜前期チバニアン期（Cenozoic Quaternary Pleistocene Gelasian - early Middle Pleistocene）に形成された非海成層（non-marine sediments）。産総研シームレス地質図V2凡例記号: Q1-21_sn</t>
        </is>
      </c>
    </row>
    <row r="5">
      <c r="A5" s="11" t="inlineStr">
        <is>
          <t>m200k_NI-53-21_u004</t>
        </is>
      </c>
      <c r="B5" s="11" t="inlineStr">
        <is>
          <t>Pleistocene Gravel (Tokushima Quaternary)</t>
        </is>
      </c>
      <c r="C5" s="11" t="inlineStr">
        <is>
          <t>新生代 第四紀 後期更新世前期 段丘堆積物</t>
        </is>
      </c>
      <c r="D5" s="11" t="inlineStr">
        <is>
          <t>新生代 第四紀 後期更新世前期（Cenozoic Quaternary early Late Pleistocene）に形成された段丘堆積物（terrace deposits）。産総研シームレス地質図V2凡例記号: Q31_std</t>
        </is>
      </c>
    </row>
    <row r="6">
      <c r="A6" s="11" t="inlineStr">
        <is>
          <t>m200k_NI-53-21_u005</t>
        </is>
      </c>
      <c r="B6" s="11" t="inlineStr">
        <is>
          <t>Pleistocene Gravel (Tokushima Quaternary)</t>
        </is>
      </c>
      <c r="C6" s="11" t="inlineStr">
        <is>
          <t>新生代 第四紀 後期チバニアン期 段丘堆積物</t>
        </is>
      </c>
      <c r="D6" s="11" t="inlineStr">
        <is>
          <t>新生代 第四紀 後期チバニアン期（Cenozoic Quaternary late Middle Pleistocene）に形成された段丘堆積物（terrace deposits）。産総研シームレス地質図V2凡例記号: Q22_std</t>
        </is>
      </c>
    </row>
    <row r="7">
      <c r="A7" s="11" t="inlineStr">
        <is>
          <t>m200k_NI-53-21_u006</t>
        </is>
      </c>
      <c r="B7" s="11" t="inlineStr">
        <is>
          <t>Pleistocene Gravel (Tokushima Quaternary)</t>
        </is>
      </c>
      <c r="C7" s="11" t="inlineStr">
        <is>
          <t>新生代 第四紀 後期更新世中期〜後期更新世後期 段丘堆積物</t>
        </is>
      </c>
      <c r="D7" s="11" t="inlineStr">
        <is>
          <t>新生代 第四紀 後期更新世中期〜後期更新世後期（Cenozoic Quaternary middle Late Pleistocene - late Late Pleistocene）に形成された段丘堆積物（terrace deposits）。産総研シームレス地質図V2凡例記号: Q32-33_std</t>
        </is>
      </c>
    </row>
    <row r="8">
      <c r="A8" s="11" t="inlineStr">
        <is>
          <t>m200k_NI-53-21_u007</t>
        </is>
      </c>
      <c r="B8" s="11" t="inlineStr">
        <is>
          <t>Holocene Sedimentary (Tokushima Quaternary)</t>
        </is>
      </c>
      <c r="C8" s="11" t="inlineStr">
        <is>
          <t>新生代 第四紀 後期チバニアン期〜完新世 地すべり堆積物</t>
        </is>
      </c>
      <c r="D8" s="11" t="inlineStr">
        <is>
          <t>新生代 第四紀 後期チバニアン期〜完新世（Cenozoic Quaternary late Middle Pleistocene - Holocene）に形成された地すべり堆積物（landslide deposits）。産総研シームレス地質図V2凡例記号: Q22-H_sdd</t>
        </is>
      </c>
    </row>
    <row r="9">
      <c r="A9" s="11" t="inlineStr">
        <is>
          <t>m200k_NI-53-21_u008</t>
        </is>
      </c>
      <c r="B9" s="11" t="inlineStr">
        <is>
          <t>Santonian Dacite (Tokushima Neogene-Paleogene)</t>
        </is>
      </c>
      <c r="C9" s="11" t="inlineStr">
        <is>
          <t>中生代 後期白亜紀 セノマニアン期〜サントニアン期 デイサイト・流紋岩 大規模火砕流</t>
        </is>
      </c>
      <c r="D9" s="11" t="inlineStr">
        <is>
          <t>中生代 後期白亜紀 セノマニアン期〜サントニアン期（Mesozoic Late Cretaceous Cenomanian - Santonian）に形成されたデイサイト・流紋岩 大規模火砕流（dacite &amp; rhyolite pyroclastic rocks）。産総研シームレス地質図V2凡例記号: K21_vas_ap</t>
        </is>
      </c>
    </row>
    <row r="10">
      <c r="A10" s="11" t="inlineStr">
        <is>
          <t>m200k_NI-53-21_u009</t>
        </is>
      </c>
      <c r="B10" s="11" t="inlineStr">
        <is>
          <t>Maastrichtian Dacite (Tokushima Neogene-Paleogene)</t>
        </is>
      </c>
      <c r="C10" s="11" t="inlineStr">
        <is>
          <t>中生代 後期白亜紀 カンパニアン期〜マーストリヒチアン期 デイサイト・流紋岩 大規模火砕流</t>
        </is>
      </c>
      <c r="D10" s="11" t="inlineStr">
        <is>
          <t>中生代 後期白亜紀 カンパニアン期〜マーストリヒチアン期（Mesozoic Late Cretaceous Campanian - Maastrichtian）に形成されたデイサイト・流紋岩 大規模火砕流（dacite &amp; rhyolite pyroclastic rocks）。産総研シームレス地質図V2凡例記号: K22_vas_ap</t>
        </is>
      </c>
    </row>
    <row r="11">
      <c r="A11" s="11" t="inlineStr">
        <is>
          <t>m200k_NI-53-21_u010</t>
        </is>
      </c>
      <c r="B11" s="11" t="inlineStr">
        <is>
          <t>Rupelian Basalt (Tokushima Neogene-Paleogene)</t>
        </is>
      </c>
      <c r="C11" s="11" t="inlineStr">
        <is>
          <t>新生代 古第三紀 漸新世 ルペリアン期 玄武岩 溶岩・火砕岩</t>
        </is>
      </c>
      <c r="D11" s="11" t="inlineStr">
        <is>
          <t>新生代 古第三紀 漸新世 ルペリアン期（Cenozoic Paleogene Oligocene Rupelian）に形成された玄武岩 溶岩・火砕岩（basalt lava &amp; pyroclastic rocks）。産総研シームレス地質図V2凡例記号: Pg3_vbs_al</t>
        </is>
      </c>
    </row>
    <row r="12">
      <c r="A12" s="11" t="inlineStr">
        <is>
          <t>m200k_NI-53-21_u011</t>
        </is>
      </c>
      <c r="B12" s="11" t="inlineStr">
        <is>
          <t>Tortonian Andesite (Tokushima Neogene-Paleogene)</t>
        </is>
      </c>
      <c r="C12" s="11" t="inlineStr">
        <is>
          <t>新生代 新第三紀 中新世 後期ランギアン期〜トートニアン期 安山岩・玄武岩質安山岩 溶岩・火砕岩</t>
        </is>
      </c>
      <c r="D12" s="11" t="inlineStr">
        <is>
          <t>新生代 新第三紀 中新世 後期ランギアン期〜トートニアン期（Cenozoic Neogene Miocene late Langhian - Tortonian）に形成された安山岩・玄武岩質安山岩 溶岩・火砕岩（andesite &amp; basaltic andesite lava &amp; pyroclastic rocks）。産総研シームレス地質図V2凡例記号: N2_vis_al</t>
        </is>
      </c>
    </row>
    <row r="13">
      <c r="A13" s="11" t="inlineStr">
        <is>
          <t>m200k_NI-53-21_u012</t>
        </is>
      </c>
      <c r="B13" s="11" t="inlineStr">
        <is>
          <t>Tortonian Dacite (Tokushima Neogene-Paleogene)</t>
        </is>
      </c>
      <c r="C13" s="11" t="inlineStr">
        <is>
          <t>新生代 新第三紀 中新世 後期ランギアン期〜トートニアン期 デイサイト・流紋岩 溶岩・火砕岩</t>
        </is>
      </c>
      <c r="D13" s="11" t="inlineStr">
        <is>
          <t>新生代 新第三紀 中新世 後期ランギアン期〜トートニアン期（Cenozoic Neogene Miocene late Langhian - Tortonian）に形成されたデイサイト・流紋岩 溶岩・火砕岩（dacite &amp; rhyolite lava &amp; pyroclastic rocks）。産総研シームレス地質図V2凡例記号: N2_vas_al</t>
        </is>
      </c>
    </row>
    <row r="14">
      <c r="A14" s="11" t="inlineStr">
        <is>
          <t>m200k_NI-53-21_u013</t>
        </is>
      </c>
      <c r="B14" s="11" t="inlineStr">
        <is>
          <t>Bajocian Sandstone (Tokushima Accretionary)</t>
        </is>
      </c>
      <c r="C14" s="11" t="inlineStr">
        <is>
          <t>中生代 前期ジュラ紀〜中期ジュラ紀 バジョシアン期 海成層 砂岩泥岩互層 前期-中期ジュラ紀付加体</t>
        </is>
      </c>
      <c r="D14" s="11" t="inlineStr">
        <is>
          <t>中生代 前期ジュラ紀〜中期ジュラ紀 バジョシアン期（Mesozoic Jurassic Early - Middle Bajocian）に形成された海成層 砂岩泥岩互層 前期-中期ジュラ紀付加体（marine alternation of sandstone &amp; mudstone Early to Middle Jurassic accretionary complex）。産総研シームレス地質図V2凡例記号: J1-22_sosma_J1</t>
        </is>
      </c>
    </row>
    <row r="15">
      <c r="A15" s="11" t="inlineStr">
        <is>
          <t>m200k_NI-53-21_u014</t>
        </is>
      </c>
      <c r="B15" s="11" t="inlineStr">
        <is>
          <t>Bajocian Sedimentary (Tokushima Accretionary)</t>
        </is>
      </c>
      <c r="C15" s="11" t="inlineStr">
        <is>
          <t>中生代 前期ジュラ紀〜中期ジュラ紀 バジョシアン期 混在岩 前期-中期ジュラ紀付加体</t>
        </is>
      </c>
      <c r="D15" s="11" t="inlineStr">
        <is>
          <t>中生代 前期ジュラ紀〜中期ジュラ紀 バジョシアン期（Mesozoic Jurassic Early - Middle Bajocian）に形成された混在岩 前期-中期ジュラ紀付加体（mixed rock Early to Middle Jurassic accretionary complex）。産総研シームレス地質図V2凡例記号: J1-22_sx_J1</t>
        </is>
      </c>
    </row>
    <row r="16">
      <c r="A16" s="11" t="inlineStr">
        <is>
          <t>m200k_NI-53-21_u015</t>
        </is>
      </c>
      <c r="B16" s="11" t="inlineStr">
        <is>
          <t>Lopingian Sandstone (Tokushima Accretionary)</t>
        </is>
      </c>
      <c r="C16" s="11" t="inlineStr">
        <is>
          <t>古生代 ペルム紀 グアダルピアン世〜ローピンジアン世 海成層 砂岩泥岩互層 中期-後期ペルム紀付加体</t>
        </is>
      </c>
      <c r="D16" s="11" t="inlineStr">
        <is>
          <t>古生代 ペルム紀 グアダルピアン世〜ローピンジアン世（Paleozoic Permian Guadalupian - Lopingian）に形成された海成層 砂岩泥岩互層 中期-後期ペルム紀付加体（marine alternation of sandstone &amp; mudstone middle to late Permian accretionary complex）。産総研シームレス地質図V2凡例記号: P2-3_sosma_P2</t>
        </is>
      </c>
    </row>
    <row r="17">
      <c r="A17" s="11" t="inlineStr">
        <is>
          <t>m200k_NI-53-21_u016</t>
        </is>
      </c>
      <c r="B17" s="11" t="inlineStr">
        <is>
          <t>Priabonian Sandstone (Tokushima Sedimentary)</t>
        </is>
      </c>
      <c r="C17" s="11" t="inlineStr">
        <is>
          <t>新生代 古第三紀 始新世 ルテシアン期〜プリアボニアン期 汽水成層ないし海成・非海成混合層 砂岩，砂岩泥岩互層ないし砂岩・泥岩</t>
        </is>
      </c>
      <c r="D17" s="11" t="inlineStr">
        <is>
          <t>新生代 古第三紀 始新世 ルテシアン期〜プリアボニアン期（Cenozoic Paleogene Eocene Lutetian - Priabonian）に形成された汽水成層ないし海成・非海成混合層 砂岩，砂岩泥岩互層ないし砂岩・泥岩（brackish, or marine &amp; non-marine  mixture sandstone, alternation of sandstone &amp; mudstone or sandstone &amp; mudstone ）。産総研シームレス地質図V2凡例記号: Pg2_sbs</t>
        </is>
      </c>
    </row>
    <row r="18">
      <c r="A18" s="11" t="inlineStr">
        <is>
          <t>m200k_NI-53-21_u017</t>
        </is>
      </c>
      <c r="B18" s="11" t="inlineStr">
        <is>
          <t>Santonian Granite (Tokushima Plutonic)</t>
        </is>
      </c>
      <c r="C18" s="11" t="inlineStr">
        <is>
          <t>中生代 後期白亜紀 セノマニアン期〜サントニアン期 花崗岩 塊状 島弧・大陸</t>
        </is>
      </c>
      <c r="D18" s="11" t="inlineStr">
        <is>
          <t>中生代 後期白亜紀 セノマニアン期〜サントニアン期（Mesozoic Late Cretaceous Cenomanian - Santonian）に形成された花崗岩 塊状 島弧・大陸（massive granite island arc &amp; continental）。産総研シームレス地質図V2凡例記号: K21_pam_a</t>
        </is>
      </c>
    </row>
    <row r="19">
      <c r="A19" s="11" t="inlineStr">
        <is>
          <t>m200k_NI-53-21_u018</t>
        </is>
      </c>
      <c r="B19" s="11" t="inlineStr">
        <is>
          <t>Maastrichtian Granite (Tokushima Plutonic)</t>
        </is>
      </c>
      <c r="C19" s="11" t="inlineStr">
        <is>
          <t>中生代 後期白亜紀 カンパニアン期〜マーストリヒチアン期 花崗岩 塊状 島弧・大陸</t>
        </is>
      </c>
      <c r="D19" s="11" t="inlineStr">
        <is>
          <t>中生代 後期白亜紀 カンパニアン期〜マーストリヒチアン期（Mesozoic Late Cretaceous Campanian - Maastrichtian）に形成された花崗岩 塊状 島弧・大陸（massive granite island arc &amp; continental）。産総研シームレス地質図V2凡例記号: K22_pam_a</t>
        </is>
      </c>
    </row>
    <row r="20">
      <c r="A20" s="11" t="inlineStr">
        <is>
          <t>m200k_NI-53-21_u019</t>
        </is>
      </c>
      <c r="B20" s="11" t="inlineStr">
        <is>
          <t>Maastrichtian Diorite (Tokushima Plutonic)</t>
        </is>
      </c>
      <c r="C20" s="11" t="inlineStr">
        <is>
          <t>中生代 後期白亜紀 カンパニアン期〜マーストリヒチアン期 閃緑岩・石英閃緑岩 島弧・大陸</t>
        </is>
      </c>
      <c r="D20" s="11" t="inlineStr">
        <is>
          <t>中生代 後期白亜紀 カンパニアン期〜マーストリヒチアン期（Mesozoic Late Cretaceous Campanian - Maastrichtian）に形成された閃緑岩・石英閃緑岩 島弧・大陸（diorite &amp; quartz diorite island arc &amp; continental）。産総研シームレス地質図V2凡例記号: K22_pbd_a</t>
        </is>
      </c>
    </row>
    <row r="21">
      <c r="A21" s="11" t="inlineStr">
        <is>
          <t>m200k_NI-53-21_u020</t>
        </is>
      </c>
      <c r="B21" s="11" t="inlineStr">
        <is>
          <t>Santonian Gabbro (Tokushima Plutonic)</t>
        </is>
      </c>
      <c r="C21" s="11" t="inlineStr">
        <is>
          <t>中生代 後期白亜紀 セノマニアン期〜サントニアン期 斑れい岩 島弧・大陸</t>
        </is>
      </c>
      <c r="D21" s="11" t="inlineStr">
        <is>
          <t>中生代 後期白亜紀 セノマニアン期〜サントニアン期（Mesozoic Late Cretaceous Cenomanian - Santonian）に形成された斑れい岩 島弧・大陸（gabbro island arc &amp; continental）。産総研シームレス地質図V2凡例記号: K21_pbg_a</t>
        </is>
      </c>
    </row>
    <row r="22">
      <c r="A22" s="11" t="inlineStr">
        <is>
          <t>m200k_NI-53-21_u021</t>
        </is>
      </c>
      <c r="B22" s="11" t="inlineStr">
        <is>
          <t>Santonian Tonalite (Tokushima Mesozoic)</t>
        </is>
      </c>
      <c r="C22" s="11" t="inlineStr">
        <is>
          <t>中生代 後期白亜紀 セノマニアン期〜サントニアン期 花崗閃緑岩・トーナル岩 塊状 島弧・大陸</t>
        </is>
      </c>
      <c r="D22" s="11" t="inlineStr">
        <is>
          <t>中生代 後期白亜紀 セノマニアン期〜サントニアン期（Mesozoic Late Cretaceous Cenomanian - Santonian）に形成された花崗閃緑岩・トーナル岩 塊状 島弧・大陸（mssive granodiolite &amp; tonalite island arc &amp; continental）。産総研シームレス地質図V2凡例記号: K21_pim_a</t>
        </is>
      </c>
    </row>
    <row r="23">
      <c r="A23" s="11" t="inlineStr">
        <is>
          <t>m200k_NI-53-21_u022</t>
        </is>
      </c>
      <c r="B23" s="11" t="inlineStr">
        <is>
          <t>Maastrichtian Sandstone (Tokushima Mesozoic)</t>
        </is>
      </c>
      <c r="C23" s="11" t="inlineStr">
        <is>
          <t>中生代 後期白亜紀 カンパニアン期〜マーストリヒチアン期 海成層 砂岩</t>
        </is>
      </c>
      <c r="D23" s="11" t="inlineStr">
        <is>
          <t>中生代 後期白亜紀 カンパニアン期〜マーストリヒチアン期（Mesozoic Late Cretaceous Campanian - Maastrichtian）に形成された海成層 砂岩（marine sandstone）。産総研シームレス地質図V2凡例記号: K22_soss</t>
        </is>
      </c>
    </row>
    <row r="24">
      <c r="A24" s="11" t="inlineStr">
        <is>
          <t>m200k_NI-53-21_u023</t>
        </is>
      </c>
      <c r="B24" s="11" t="inlineStr">
        <is>
          <t>Maastrichtian Tonalite (Tokushima Mesozoic)</t>
        </is>
      </c>
      <c r="C24" s="11" t="inlineStr">
        <is>
          <t>中生代 後期白亜紀 カンパニアン期〜マーストリヒチアン期 花崗閃緑岩・トーナル岩 塊状 島弧・大陸</t>
        </is>
      </c>
      <c r="D24" s="11" t="inlineStr">
        <is>
          <t>中生代 後期白亜紀 カンパニアン期〜マーストリヒチアン期（Mesozoic Late Cretaceous Campanian - Maastrichtian）に形成された花崗閃緑岩・トーナル岩 塊状 島弧・大陸（mssive granodiolite &amp; tonalite island arc &amp; continental）。産総研シームレス地質図V2凡例記号: K22_pim_a</t>
        </is>
      </c>
    </row>
    <row r="25">
      <c r="A25" s="11" t="inlineStr">
        <is>
          <t>m200k_NI-53-21_u024</t>
        </is>
      </c>
      <c r="B25" s="11" t="inlineStr">
        <is>
          <t>Maastrichtian Conglomerate (Tokushima Mesozoic)</t>
        </is>
      </c>
      <c r="C25" s="11" t="inlineStr">
        <is>
          <t>中生代 後期白亜紀 カンパニアン期〜マーストリヒチアン期 海成層 礫岩</t>
        </is>
      </c>
      <c r="D25" s="11" t="inlineStr">
        <is>
          <t>中生代 後期白亜紀 カンパニアン期〜マーストリヒチアン期（Mesozoic Late Cretaceous Campanian - Maastrichtian）に形成された海成層 礫岩（marine conglomerate）。産総研シームレス地質図V2凡例記号: K22_soc</t>
        </is>
      </c>
    </row>
    <row r="26">
      <c r="A26" s="11" t="inlineStr">
        <is>
          <t>m200k_NI-53-21_u025</t>
        </is>
      </c>
      <c r="B26" s="11" t="inlineStr">
        <is>
          <t>Maastrichtian Mudstone (Tokushima Mesozoic)</t>
        </is>
      </c>
      <c r="C26" s="11" t="inlineStr">
        <is>
          <t>中生代 後期白亜紀 カンパニアン期〜マーストリヒチアン期 海成層 泥岩</t>
        </is>
      </c>
      <c r="D26" s="11" t="inlineStr">
        <is>
          <t>中生代 後期白亜紀 カンパニアン期〜マーストリヒチアン期（Mesozoic Late Cretaceous Campanian - Maastrichtian）に形成された海成層 泥岩（marine mudstone）。産総研シームレス地質図V2凡例記号: K22_som</t>
        </is>
      </c>
    </row>
    <row r="27">
      <c r="A27" s="11" t="inlineStr">
        <is>
          <t>m200k_NI-53-21_u026</t>
        </is>
      </c>
      <c r="B27" s="11" t="inlineStr">
        <is>
          <t>Maastrichtian Sandstone (Tokushima Mesozoic)</t>
        </is>
      </c>
      <c r="C27" s="11" t="inlineStr">
        <is>
          <t>中生代 後期白亜紀 カンパニアン期〜マーストリヒチアン期 海成層 砂岩泥岩互層</t>
        </is>
      </c>
      <c r="D27" s="11" t="inlineStr">
        <is>
          <t>中生代 後期白亜紀 カンパニアン期〜マーストリヒチアン期（Mesozoic Late Cretaceous Campanian - Maastrichtian）に形成された海成層 砂岩泥岩互層（marine alternation of sandstone &amp; mudstone）。産総研シームレス地質図V2凡例記号: K22_sosma</t>
        </is>
      </c>
    </row>
    <row r="28">
      <c r="A28" s="11" t="inlineStr">
        <is>
          <t>m200k_NI-53-21_u027</t>
        </is>
      </c>
      <c r="B28" s="11" t="inlineStr">
        <is>
          <t>Pliocene Sandstone (Tokushima Neogene)</t>
        </is>
      </c>
      <c r="C28" s="11" t="inlineStr">
        <is>
          <t>新生代 新第三紀 中新世 メッシニアン期〜鮮新世 非海成層 砂岩，砂岩泥岩互層ないし砂岩・泥岩</t>
        </is>
      </c>
      <c r="D28" s="11" t="inlineStr">
        <is>
          <t>新生代 新第三紀 中新世 メッシニアン期〜鮮新世（Cenozoic Neogene Miocene Messinian - Pliocene）に形成された非海成層 砂岩，砂岩泥岩互層ないし砂岩・泥岩（non-marine sandstone, or alternation of sandstone &amp; mudstone or sandstone &amp; mudstone）。産総研シームレス地質図V2凡例記号: N3_sns</t>
        </is>
      </c>
    </row>
    <row r="29">
      <c r="A29" s="11" t="inlineStr">
        <is>
          <t>m200k_NI-53-21_u028</t>
        </is>
      </c>
      <c r="B29" s="11" t="inlineStr">
        <is>
          <t>Pliocene Conglomerate (Tokushima Neogene)</t>
        </is>
      </c>
      <c r="C29" s="11" t="inlineStr">
        <is>
          <t>新生代 新第三紀 中新世 メッシニアン期〜鮮新世 非海成層 礫岩</t>
        </is>
      </c>
      <c r="D29" s="11" t="inlineStr">
        <is>
          <t>新生代 新第三紀 中新世 メッシニアン期〜鮮新世（Cenozoic Neogene Miocene Messinian - Pliocene）に形成された非海成層 礫岩（non-marine conglomerate）。産総研シームレス地質図V2凡例記号: N3_snc</t>
        </is>
      </c>
    </row>
    <row r="30">
      <c r="A30" s="11" t="inlineStr">
        <is>
          <t>m200k_NI-53-21_u029</t>
        </is>
      </c>
      <c r="B30" s="11" t="inlineStr">
        <is>
          <t>Santonian Granite (Tokushima Metamorphic)</t>
        </is>
      </c>
      <c r="C30" s="11" t="inlineStr">
        <is>
          <t>中生代 後期白亜紀 セノマニアン期〜サントニアン期 花崗岩 片麻状 島弧・大陸</t>
        </is>
      </c>
      <c r="D30" s="11" t="inlineStr">
        <is>
          <t>中生代 後期白亜紀 セノマニアン期〜サントニアン期（Mesozoic Late Cretaceous Cenomanian - Santonian）に形成された花崗岩 片麻状 島弧・大陸（gneissose granite island arc &amp; continental）。産総研シームレス地質図V2凡例記号: K21_pan_a</t>
        </is>
      </c>
    </row>
    <row r="31">
      <c r="A31" s="11" t="inlineStr">
        <is>
          <t>m200k_NI-53-21_u030</t>
        </is>
      </c>
      <c r="B31" s="11" t="inlineStr">
        <is>
          <t>Santonian Tonalite (Tokushima Metamorphic)</t>
        </is>
      </c>
      <c r="C31" s="11" t="inlineStr">
        <is>
          <t>中生代 後期白亜紀 セノマニアン期〜サントニアン期 花崗閃緑岩・トーナル岩 片麻状 島弧・大陸</t>
        </is>
      </c>
      <c r="D31" s="11" t="inlineStr">
        <is>
          <t>中生代 後期白亜紀 セノマニアン期〜サントニアン期（Mesozoic Late Cretaceous Cenomanian - Santonian）に形成された花崗閃緑岩・トーナル岩 片麻状 島弧・大陸（gneissose granodiolite &amp; tonalite island arc &amp; continental）。産総研シームレス地質図V2凡例記号: K21_pin_a</t>
        </is>
      </c>
    </row>
    <row r="32">
      <c r="A32" s="11" t="inlineStr">
        <is>
          <t>m200k_NI-53-21_u031</t>
        </is>
      </c>
      <c r="B32" s="11" t="inlineStr">
        <is>
          <t>Selandian Gneiss (Tokushima Metamorphic)</t>
        </is>
      </c>
      <c r="C32" s="11" t="inlineStr">
        <is>
          <t>中生代 後期白亜紀〜新生代 古第三紀 暁新世 セランディアン期 泥質片麻岩・泥質ミグマタイト 低P/T型広域変成岩　ざくろ石菫青石帯</t>
        </is>
      </c>
      <c r="D32" s="11" t="inlineStr">
        <is>
          <t>中生代 後期白亜紀〜新生代 古第三紀 暁新世 セランディアン期（Mesozoic Late Cretaceous - Cenozoic Paleogene Paleocene Selandian）に形成された泥質片麻岩・泥質ミグマタイト 低P/T型広域変成岩　ざくろ石菫青石帯（pelitic gneiss &amp; migmatite garnet-cordierite zone of low P/T regional metamorphic rocks）。産総研シームレス地質図V2凡例記号: K2-Pg12_mgmpe_lgc</t>
        </is>
      </c>
    </row>
    <row r="33">
      <c r="A33" s="11" t="inlineStr">
        <is>
          <t>m200k_NI-53-21_u032</t>
        </is>
      </c>
      <c r="B33" s="11" t="inlineStr">
        <is>
          <t>Selandian Gneiss (Tokushima Metamorphic)</t>
        </is>
      </c>
      <c r="C33" s="11" t="inlineStr">
        <is>
          <t>中生代 後期白亜紀〜新生代 古第三紀 暁新世 セランディアン期 泥質片麻岩・泥質ミグマタイト 低P/T型広域変成岩　珪線石カリ長石帯</t>
        </is>
      </c>
      <c r="D33" s="11" t="inlineStr">
        <is>
          <t>中生代 後期白亜紀〜新生代 古第三紀 暁新世 セランディアン期（Mesozoic Late Cretaceous - Cenozoic Paleogene Paleocene Selandian）に形成された泥質片麻岩・泥質ミグマタイト 低P/T型広域変成岩　珪線石カリ長石帯（pelitic gneiss &amp; migmatite sillmanite-Kfeldspar zone of low P/T regional metamorphic rocks）。産総研シームレス地質図V2凡例記号: K2-Pg12_mgmpe_lks</t>
        </is>
      </c>
    </row>
    <row r="34">
      <c r="A34" s="11" t="inlineStr">
        <is>
          <t>m200k_NI-53-21_u033</t>
        </is>
      </c>
      <c r="B34" s="11" t="inlineStr">
        <is>
          <t>Selandian Gneiss (Tokushima Metamorphic)</t>
        </is>
      </c>
      <c r="C34" s="11" t="inlineStr">
        <is>
          <t>中生代 後期白亜紀〜新生代 古第三紀 暁新世 セランディアン期 珪長質片麻岩 低P/T型広域変成岩　珪線石カリ長石帯</t>
        </is>
      </c>
      <c r="D34" s="11" t="inlineStr">
        <is>
          <t>中生代 後期白亜紀〜新生代 古第三紀 暁新世 セランディアン期（Mesozoic Late Cretaceous - Cenozoic Paleogene Paleocene Selandian）に形成された珪長質片麻岩 低P/T型広域変成岩　珪線石カリ長石帯（felsic gneiss sillmanite-Kfeldspar zone of low P/T regional metamorphic rocks）。産総研シームレス地質図V2凡例記号: K2-Pg12_mgnfe_lks</t>
        </is>
      </c>
    </row>
    <row r="35">
      <c r="A35" s="11" t="inlineStr">
        <is>
          <t>m200k_NI-53-21_u034</t>
        </is>
      </c>
      <c r="B35" s="11" t="inlineStr">
        <is>
          <t>Selandian Mafic (Tokushima Metamorphic)</t>
        </is>
      </c>
      <c r="C35" s="11" t="inlineStr">
        <is>
          <t>中生代 前期白亜紀 アルビアン期〜新生代 古第三紀 暁新世 セランディアン期 苦鉄質片岩 高P/T型広域変成岩　アルバイト黒雲母帯</t>
        </is>
      </c>
      <c r="D35" s="11" t="inlineStr">
        <is>
          <t>中生代 前期白亜紀 アルビアン期〜新生代 古第三紀 暁新世 セランディアン期（Mesozoic Early Cretaceous Albian - Cenozoic Paleogene Paleocene Selandian）に形成された苦鉄質片岩 高P/T型広域変成岩　アルバイト黒雲母帯（mafic schist albite-biotite zone of high P/T regional metamorphic rocks）。産総研シームレス地質図V2凡例記号: K122-Pg12_mscma_hab</t>
        </is>
      </c>
    </row>
    <row r="36">
      <c r="A36" s="11" t="inlineStr">
        <is>
          <t>m200k_NI-53-21_u035</t>
        </is>
      </c>
      <c r="B36" s="11" t="inlineStr">
        <is>
          <t>Selandian Schist (Tokushima Metamorphic)</t>
        </is>
      </c>
      <c r="C36" s="11" t="inlineStr">
        <is>
          <t>中生代 前期白亜紀 アルビアン期〜新生代 古第三紀 暁新世 セランディアン期 泥質片岩 高P/T型広域変成岩　アルバイト黒雲母帯</t>
        </is>
      </c>
      <c r="D36" s="11" t="inlineStr">
        <is>
          <t>中生代 前期白亜紀 アルビアン期〜新生代 古第三紀 暁新世 セランディアン期（Mesozoic Early Cretaceous Albian - Cenozoic Paleogene Paleocene Selandian）に形成された泥質片岩 高P/T型広域変成岩　アルバイト黒雲母帯（pelitic schist albite-biotite zone of high P/T regional metamorphic rocks）。産総研シームレス地質図V2凡例記号: K122-Pg12_mscpe_hab</t>
        </is>
      </c>
    </row>
    <row r="37">
      <c r="A37" s="11" t="inlineStr">
        <is>
          <t>m200k_NI-53-21_u036</t>
        </is>
      </c>
      <c r="B37" s="11" t="inlineStr">
        <is>
          <t>Selandian Mafic (Tokushima Metamorphic)</t>
        </is>
      </c>
      <c r="C37" s="11" t="inlineStr">
        <is>
          <t>中生代 前期白亜紀 アルビアン期〜新生代 古第三紀 暁新世 セランディアン期 苦鉄質片岩 高P/T型広域変成岩　緑泥石帯</t>
        </is>
      </c>
      <c r="D37" s="11" t="inlineStr">
        <is>
          <t>中生代 前期白亜紀 アルビアン期〜新生代 古第三紀 暁新世 セランディアン期（Mesozoic Early Cretaceous Albian - Cenozoic Paleogene Paleocene Selandian）に形成された苦鉄質片岩 高P/T型広域変成岩　緑泥石帯（mafic schist chlorite zone of high P/T regional metamorphic rocks）。産総研シームレス地質図V2凡例記号: K122-Pg12_mscma_hc</t>
        </is>
      </c>
    </row>
    <row r="38">
      <c r="A38" s="11" t="inlineStr">
        <is>
          <t>m200k_NI-53-21_u037</t>
        </is>
      </c>
      <c r="B38" s="11" t="inlineStr">
        <is>
          <t>Selandian Mafic (Tokushima Metamorphic)</t>
        </is>
      </c>
      <c r="C38" s="11" t="inlineStr">
        <is>
          <t>中生代 前期白亜紀 アルビアン期〜新生代 古第三紀 暁新世 セランディアン期 苦鉄質片岩 高P/T型広域変成岩　ざくろ石帯</t>
        </is>
      </c>
      <c r="D38" s="11" t="inlineStr">
        <is>
          <t>中生代 前期白亜紀 アルビアン期〜新生代 古第三紀 暁新世 セランディアン期（Mesozoic Early Cretaceous Albian - Cenozoic Paleogene Paleocene Selandian）に形成された苦鉄質片岩 高P/T型広域変成岩　ざくろ石帯（mafic schist garnet zone of high P/T regional metamorphic rocks）。産総研シームレス地質図V2凡例記号: K122-Pg12_mscma_hg</t>
        </is>
      </c>
    </row>
    <row r="39">
      <c r="A39" s="11" t="inlineStr">
        <is>
          <t>m200k_NI-53-21_u038</t>
        </is>
      </c>
      <c r="B39" s="11" t="inlineStr">
        <is>
          <t>Selandian Schist (Tokushima Metamorphic)</t>
        </is>
      </c>
      <c r="C39" s="11" t="inlineStr">
        <is>
          <t>中生代 前期白亜紀 アルビアン期〜新生代 古第三紀 暁新世 セランディアン期 泥質片岩 高P/T型広域変成岩　ざくろ石帯</t>
        </is>
      </c>
      <c r="D39" s="11" t="inlineStr">
        <is>
          <t>中生代 前期白亜紀 アルビアン期〜新生代 古第三紀 暁新世 セランディアン期（Mesozoic Early Cretaceous Albian - Cenozoic Paleogene Paleocene Selandian）に形成された泥質片岩 高P/T型広域変成岩　ざくろ石帯（pelitic schist garnet zone of high P/T regional metamorphic rocks）。産総研シームレス地質図V2凡例記号: K122-Pg12_mscpe_hg</t>
        </is>
      </c>
    </row>
    <row r="40">
      <c r="A40" s="11" t="inlineStr">
        <is>
          <t>m200k_NI-53-21_u039</t>
        </is>
      </c>
      <c r="B40" s="11" t="inlineStr">
        <is>
          <t>Selandian Schist (Tokushima Metamorphic)</t>
        </is>
      </c>
      <c r="C40" s="11" t="inlineStr">
        <is>
          <t>中生代 前期白亜紀 アルビアン期〜新生代 古第三紀 暁新世 セランディアン期 泥質片岩 高P/T型広域変成岩　緑泥石帯</t>
        </is>
      </c>
      <c r="D40" s="11" t="inlineStr">
        <is>
          <t>中生代 前期白亜紀 アルビアン期〜新生代 古第三紀 暁新世 セランディアン期（Mesozoic Early Cretaceous Albian - Cenozoic Paleogene Paleocene Selandian）に形成された泥質片岩 高P/T型広域変成岩　緑泥石帯（pelitic schist chlorite zone of high P/T regional metamorphic rocks）。産総研シームレス地質図V2凡例記号: K122-Pg12_mscpe_hc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2026-08-14T03:40:32Z</dcterms:created>
  <dcterms:modified xmlns:dcterms="http://purl.org/dc/terms/" xmlns:xsi="http://www.w3.org/2001/XMLSchema-instance" xsi:type="dcterms:W3CDTF">2026-08-14T03:40:32Z</dcterms:modified>
</cp:coreProperties>
</file>